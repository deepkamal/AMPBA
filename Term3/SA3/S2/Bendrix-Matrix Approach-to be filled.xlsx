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G:\ISB\SA 2 Regression Analysis\"/>
    </mc:Choice>
  </mc:AlternateContent>
  <xr:revisionPtr revIDLastSave="0" documentId="13_ncr:1_{9061C0FA-45F5-4357-9C8E-A051AAA4CFD0}" xr6:coauthVersionLast="41" xr6:coauthVersionMax="41" xr10:uidLastSave="{00000000-0000-0000-0000-000000000000}"/>
  <bookViews>
    <workbookView xWindow="-120" yWindow="-120" windowWidth="20730" windowHeight="11160" activeTab="2" xr2:uid="{00000000-000D-0000-FFFF-FFFF00000000}"/>
  </bookViews>
  <sheets>
    <sheet name="Data" sheetId="1" r:id="rId1"/>
    <sheet name="Cross Products" sheetId="2" r:id="rId2"/>
    <sheet name="Regression" sheetId="4" r:id="rId3"/>
    <sheet name="Sheet1" sheetId="5" r:id="rId4"/>
  </sheets>
  <definedNames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2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12345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TRUE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" i="5" l="1" a="1"/>
  <c r="J2" i="5" s="1"/>
  <c r="F2" i="5" a="1"/>
  <c r="F2" i="5" s="1"/>
  <c r="I9" i="2" a="1"/>
  <c r="I9" i="2" s="1"/>
  <c r="J36" i="5" l="1"/>
  <c r="J32" i="5"/>
  <c r="J28" i="5"/>
  <c r="J24" i="5"/>
  <c r="J20" i="5"/>
  <c r="J16" i="5"/>
  <c r="J12" i="5"/>
  <c r="J8" i="5"/>
  <c r="J4" i="5"/>
  <c r="J37" i="5"/>
  <c r="J29" i="5"/>
  <c r="J21" i="5"/>
  <c r="J13" i="5"/>
  <c r="J5" i="5"/>
  <c r="J35" i="5"/>
  <c r="J31" i="5"/>
  <c r="J27" i="5"/>
  <c r="J23" i="5"/>
  <c r="J19" i="5"/>
  <c r="J15" i="5"/>
  <c r="J11" i="5"/>
  <c r="J7" i="5"/>
  <c r="J3" i="5"/>
  <c r="J33" i="5"/>
  <c r="J25" i="5"/>
  <c r="J17" i="5"/>
  <c r="J9" i="5"/>
  <c r="J34" i="5"/>
  <c r="J30" i="5"/>
  <c r="J26" i="5"/>
  <c r="J22" i="5"/>
  <c r="J18" i="5"/>
  <c r="J14" i="5"/>
  <c r="J10" i="5"/>
  <c r="J6" i="5"/>
  <c r="G37" i="5"/>
  <c r="F36" i="5"/>
  <c r="H34" i="5"/>
  <c r="G33" i="5"/>
  <c r="F32" i="5"/>
  <c r="H30" i="5"/>
  <c r="G29" i="5"/>
  <c r="F28" i="5"/>
  <c r="H26" i="5"/>
  <c r="G25" i="5"/>
  <c r="F24" i="5"/>
  <c r="H22" i="5"/>
  <c r="G21" i="5"/>
  <c r="F20" i="5"/>
  <c r="H18" i="5"/>
  <c r="G17" i="5"/>
  <c r="F16" i="5"/>
  <c r="H14" i="5"/>
  <c r="G13" i="5"/>
  <c r="F12" i="5"/>
  <c r="H10" i="5"/>
  <c r="G9" i="5"/>
  <c r="F8" i="5"/>
  <c r="H6" i="5"/>
  <c r="G5" i="5"/>
  <c r="F4" i="5"/>
  <c r="H2" i="5"/>
  <c r="H36" i="5"/>
  <c r="G35" i="5"/>
  <c r="F34" i="5"/>
  <c r="H32" i="5"/>
  <c r="G31" i="5"/>
  <c r="F30" i="5"/>
  <c r="H28" i="5"/>
  <c r="G27" i="5"/>
  <c r="F26" i="5"/>
  <c r="H24" i="5"/>
  <c r="G23" i="5"/>
  <c r="F22" i="5"/>
  <c r="H20" i="5"/>
  <c r="G19" i="5"/>
  <c r="F18" i="5"/>
  <c r="H16" i="5"/>
  <c r="G15" i="5"/>
  <c r="F14" i="5"/>
  <c r="H12" i="5"/>
  <c r="G11" i="5"/>
  <c r="F10" i="5"/>
  <c r="H8" i="5"/>
  <c r="G7" i="5"/>
  <c r="F6" i="5"/>
  <c r="H4" i="5"/>
  <c r="G3" i="5"/>
  <c r="H37" i="5"/>
  <c r="G36" i="5"/>
  <c r="F35" i="5"/>
  <c r="H33" i="5"/>
  <c r="G32" i="5"/>
  <c r="F31" i="5"/>
  <c r="H29" i="5"/>
  <c r="G28" i="5"/>
  <c r="F27" i="5"/>
  <c r="H25" i="5"/>
  <c r="G24" i="5"/>
  <c r="F23" i="5"/>
  <c r="H21" i="5"/>
  <c r="G20" i="5"/>
  <c r="F19" i="5"/>
  <c r="H17" i="5"/>
  <c r="G16" i="5"/>
  <c r="F15" i="5"/>
  <c r="H13" i="5"/>
  <c r="G12" i="5"/>
  <c r="F11" i="5"/>
  <c r="H9" i="5"/>
  <c r="G8" i="5"/>
  <c r="F7" i="5"/>
  <c r="H5" i="5"/>
  <c r="G4" i="5"/>
  <c r="F3" i="5"/>
  <c r="F37" i="5"/>
  <c r="H35" i="5"/>
  <c r="G34" i="5"/>
  <c r="F33" i="5"/>
  <c r="H31" i="5"/>
  <c r="G30" i="5"/>
  <c r="F29" i="5"/>
  <c r="H27" i="5"/>
  <c r="G26" i="5"/>
  <c r="F25" i="5"/>
  <c r="H23" i="5"/>
  <c r="G22" i="5"/>
  <c r="F21" i="5"/>
  <c r="H19" i="5"/>
  <c r="G18" i="5"/>
  <c r="F17" i="5"/>
  <c r="H15" i="5"/>
  <c r="G14" i="5"/>
  <c r="F13" i="5"/>
  <c r="H11" i="5"/>
  <c r="G10" i="5"/>
  <c r="F9" i="5"/>
  <c r="H7" i="5"/>
  <c r="G6" i="5"/>
  <c r="F5" i="5"/>
  <c r="H3" i="5"/>
  <c r="G2" i="5"/>
  <c r="M6" i="5" s="1" a="1"/>
  <c r="L12" i="2"/>
  <c r="L9" i="2"/>
  <c r="K12" i="2"/>
  <c r="K11" i="2"/>
  <c r="K10" i="2"/>
  <c r="K9" i="2"/>
  <c r="L11" i="2"/>
  <c r="J12" i="2"/>
  <c r="J11" i="2"/>
  <c r="J10" i="2"/>
  <c r="J9" i="2"/>
  <c r="L10" i="2"/>
  <c r="I12" i="2"/>
  <c r="I11" i="2"/>
  <c r="I10" i="2"/>
  <c r="M6" i="5" l="1"/>
  <c r="O6" i="5"/>
  <c r="W6" i="5"/>
  <c r="AE6" i="5"/>
  <c r="AM6" i="5"/>
  <c r="AU6" i="5"/>
  <c r="S7" i="5"/>
  <c r="AA7" i="5"/>
  <c r="AI7" i="5"/>
  <c r="AQ7" i="5"/>
  <c r="O8" i="5"/>
  <c r="W8" i="5"/>
  <c r="AE8" i="5"/>
  <c r="AM8" i="5"/>
  <c r="AU8" i="5"/>
  <c r="S9" i="5"/>
  <c r="AA9" i="5"/>
  <c r="AI9" i="5"/>
  <c r="AQ9" i="5"/>
  <c r="O10" i="5"/>
  <c r="W10" i="5"/>
  <c r="AE10" i="5"/>
  <c r="AM10" i="5"/>
  <c r="AU10" i="5"/>
  <c r="S11" i="5"/>
  <c r="AA11" i="5"/>
  <c r="AI11" i="5"/>
  <c r="AQ11" i="5"/>
  <c r="O12" i="5"/>
  <c r="W12" i="5"/>
  <c r="AE12" i="5"/>
  <c r="AM12" i="5"/>
  <c r="AU12" i="5"/>
  <c r="S13" i="5"/>
  <c r="AA13" i="5"/>
  <c r="AI13" i="5"/>
  <c r="AQ13" i="5"/>
  <c r="O14" i="5"/>
  <c r="W14" i="5"/>
  <c r="AE14" i="5"/>
  <c r="AM14" i="5"/>
  <c r="AU14" i="5"/>
  <c r="S15" i="5"/>
  <c r="X15" i="5"/>
  <c r="AC15" i="5"/>
  <c r="AG15" i="5"/>
  <c r="AK15" i="5"/>
  <c r="AO15" i="5"/>
  <c r="AS15" i="5"/>
  <c r="M16" i="5"/>
  <c r="Q16" i="5"/>
  <c r="U16" i="5"/>
  <c r="Y16" i="5"/>
  <c r="AC16" i="5"/>
  <c r="AG16" i="5"/>
  <c r="AK16" i="5"/>
  <c r="AO16" i="5"/>
  <c r="AS16" i="5"/>
  <c r="M17" i="5"/>
  <c r="Q17" i="5"/>
  <c r="U17" i="5"/>
  <c r="Y17" i="5"/>
  <c r="AC17" i="5"/>
  <c r="AG17" i="5"/>
  <c r="AK17" i="5"/>
  <c r="AO17" i="5"/>
  <c r="AS17" i="5"/>
  <c r="M18" i="5"/>
  <c r="Q18" i="5"/>
  <c r="U18" i="5"/>
  <c r="Y18" i="5"/>
  <c r="AC18" i="5"/>
  <c r="AG18" i="5"/>
  <c r="AK18" i="5"/>
  <c r="AO18" i="5"/>
  <c r="AS18" i="5"/>
  <c r="M19" i="5"/>
  <c r="X6" i="5"/>
  <c r="AI6" i="5"/>
  <c r="AR6" i="5"/>
  <c r="T7" i="5"/>
  <c r="AE7" i="5"/>
  <c r="AN7" i="5"/>
  <c r="P8" i="5"/>
  <c r="AA8" i="5"/>
  <c r="AJ8" i="5"/>
  <c r="AV8" i="5"/>
  <c r="W9" i="5"/>
  <c r="AF9" i="5"/>
  <c r="AR9" i="5"/>
  <c r="S10" i="5"/>
  <c r="AB10" i="5"/>
  <c r="AN10" i="5"/>
  <c r="O11" i="5"/>
  <c r="X11" i="5"/>
  <c r="AJ11" i="5"/>
  <c r="AU11" i="5"/>
  <c r="T12" i="5"/>
  <c r="AF12" i="5"/>
  <c r="AQ12" i="5"/>
  <c r="P13" i="5"/>
  <c r="AB13" i="5"/>
  <c r="AM13" i="5"/>
  <c r="AV13" i="5"/>
  <c r="X14" i="5"/>
  <c r="AI14" i="5"/>
  <c r="AR14" i="5"/>
  <c r="T15" i="5"/>
  <c r="AA15" i="5"/>
  <c r="AF15" i="5"/>
  <c r="AL15" i="5"/>
  <c r="AQ15" i="5"/>
  <c r="AV15" i="5"/>
  <c r="R16" i="5"/>
  <c r="W16" i="5"/>
  <c r="AB16" i="5"/>
  <c r="AH16" i="5"/>
  <c r="AM16" i="5"/>
  <c r="AR16" i="5"/>
  <c r="N17" i="5"/>
  <c r="S17" i="5"/>
  <c r="X17" i="5"/>
  <c r="AD17" i="5"/>
  <c r="AI17" i="5"/>
  <c r="AN17" i="5"/>
  <c r="AT17" i="5"/>
  <c r="O18" i="5"/>
  <c r="T18" i="5"/>
  <c r="Z18" i="5"/>
  <c r="AE18" i="5"/>
  <c r="AJ18" i="5"/>
  <c r="AP18" i="5"/>
  <c r="AU18" i="5"/>
  <c r="P19" i="5"/>
  <c r="T19" i="5"/>
  <c r="X19" i="5"/>
  <c r="AB19" i="5"/>
  <c r="AF19" i="5"/>
  <c r="AJ19" i="5"/>
  <c r="AN19" i="5"/>
  <c r="AR19" i="5"/>
  <c r="AV19" i="5"/>
  <c r="P20" i="5"/>
  <c r="T20" i="5"/>
  <c r="X20" i="5"/>
  <c r="AB20" i="5"/>
  <c r="AF20" i="5"/>
  <c r="AJ20" i="5"/>
  <c r="AN20" i="5"/>
  <c r="AR20" i="5"/>
  <c r="AV20" i="5"/>
  <c r="P21" i="5"/>
  <c r="T21" i="5"/>
  <c r="X21" i="5"/>
  <c r="AB21" i="5"/>
  <c r="AF21" i="5"/>
  <c r="AJ21" i="5"/>
  <c r="AN21" i="5"/>
  <c r="AR21" i="5"/>
  <c r="AV21" i="5"/>
  <c r="P22" i="5"/>
  <c r="T22" i="5"/>
  <c r="P6" i="5"/>
  <c r="AA6" i="5"/>
  <c r="AJ6" i="5"/>
  <c r="AV6" i="5"/>
  <c r="W7" i="5"/>
  <c r="AF7" i="5"/>
  <c r="AR7" i="5"/>
  <c r="S8" i="5"/>
  <c r="AB8" i="5"/>
  <c r="AN8" i="5"/>
  <c r="O9" i="5"/>
  <c r="X9" i="5"/>
  <c r="AJ9" i="5"/>
  <c r="AU9" i="5"/>
  <c r="T10" i="5"/>
  <c r="AF10" i="5"/>
  <c r="AQ10" i="5"/>
  <c r="P11" i="5"/>
  <c r="AB11" i="5"/>
  <c r="AM11" i="5"/>
  <c r="AV11" i="5"/>
  <c r="X12" i="5"/>
  <c r="AI12" i="5"/>
  <c r="AR12" i="5"/>
  <c r="T13" i="5"/>
  <c r="AE13" i="5"/>
  <c r="AN13" i="5"/>
  <c r="P14" i="5"/>
  <c r="AA14" i="5"/>
  <c r="AJ14" i="5"/>
  <c r="AV14" i="5"/>
  <c r="U15" i="5"/>
  <c r="AB15" i="5"/>
  <c r="AH15" i="5"/>
  <c r="AM15" i="5"/>
  <c r="AR15" i="5"/>
  <c r="N16" i="5"/>
  <c r="S16" i="5"/>
  <c r="X16" i="5"/>
  <c r="AD16" i="5"/>
  <c r="AI16" i="5"/>
  <c r="AN16" i="5"/>
  <c r="AT16" i="5"/>
  <c r="O17" i="5"/>
  <c r="T17" i="5"/>
  <c r="Z17" i="5"/>
  <c r="AE17" i="5"/>
  <c r="AJ17" i="5"/>
  <c r="AP17" i="5"/>
  <c r="AU17" i="5"/>
  <c r="P18" i="5"/>
  <c r="V18" i="5"/>
  <c r="AA18" i="5"/>
  <c r="AF18" i="5"/>
  <c r="AL18" i="5"/>
  <c r="AQ18" i="5"/>
  <c r="AV18" i="5"/>
  <c r="Q19" i="5"/>
  <c r="U19" i="5"/>
  <c r="Y19" i="5"/>
  <c r="AC19" i="5"/>
  <c r="AG19" i="5"/>
  <c r="AK19" i="5"/>
  <c r="AO19" i="5"/>
  <c r="AS19" i="5"/>
  <c r="M20" i="5"/>
  <c r="Q20" i="5"/>
  <c r="U20" i="5"/>
  <c r="Y20" i="5"/>
  <c r="AC20" i="5"/>
  <c r="AG20" i="5"/>
  <c r="AK20" i="5"/>
  <c r="AO20" i="5"/>
  <c r="AS20" i="5"/>
  <c r="M21" i="5"/>
  <c r="Q21" i="5"/>
  <c r="U21" i="5"/>
  <c r="Y21" i="5"/>
  <c r="AC21" i="5"/>
  <c r="AG21" i="5"/>
  <c r="AK21" i="5"/>
  <c r="AO21" i="5"/>
  <c r="AS21" i="5"/>
  <c r="M22" i="5"/>
  <c r="Q22" i="5"/>
  <c r="S6" i="5"/>
  <c r="AB6" i="5"/>
  <c r="AN6" i="5"/>
  <c r="O7" i="5"/>
  <c r="X7" i="5"/>
  <c r="AJ7" i="5"/>
  <c r="AU7" i="5"/>
  <c r="T8" i="5"/>
  <c r="AF8" i="5"/>
  <c r="AQ8" i="5"/>
  <c r="P9" i="5"/>
  <c r="AB9" i="5"/>
  <c r="AM9" i="5"/>
  <c r="AV9" i="5"/>
  <c r="X10" i="5"/>
  <c r="AI10" i="5"/>
  <c r="AR10" i="5"/>
  <c r="T11" i="5"/>
  <c r="AE11" i="5"/>
  <c r="AN11" i="5"/>
  <c r="P12" i="5"/>
  <c r="AA12" i="5"/>
  <c r="AJ12" i="5"/>
  <c r="AV12" i="5"/>
  <c r="W13" i="5"/>
  <c r="AF13" i="5"/>
  <c r="AR13" i="5"/>
  <c r="S14" i="5"/>
  <c r="AB14" i="5"/>
  <c r="AN14" i="5"/>
  <c r="O15" i="5"/>
  <c r="W15" i="5"/>
  <c r="AD15" i="5"/>
  <c r="AI15" i="5"/>
  <c r="AN15" i="5"/>
  <c r="AT15" i="5"/>
  <c r="O16" i="5"/>
  <c r="T16" i="5"/>
  <c r="Z16" i="5"/>
  <c r="AE16" i="5"/>
  <c r="AJ16" i="5"/>
  <c r="AP16" i="5"/>
  <c r="AU16" i="5"/>
  <c r="P17" i="5"/>
  <c r="V17" i="5"/>
  <c r="AA17" i="5"/>
  <c r="AF17" i="5"/>
  <c r="AL17" i="5"/>
  <c r="AQ17" i="5"/>
  <c r="AV17" i="5"/>
  <c r="R18" i="5"/>
  <c r="W18" i="5"/>
  <c r="AB18" i="5"/>
  <c r="AH18" i="5"/>
  <c r="AM18" i="5"/>
  <c r="AR18" i="5"/>
  <c r="N19" i="5"/>
  <c r="R19" i="5"/>
  <c r="V19" i="5"/>
  <c r="Z19" i="5"/>
  <c r="AD19" i="5"/>
  <c r="AH19" i="5"/>
  <c r="AL19" i="5"/>
  <c r="AP19" i="5"/>
  <c r="AT19" i="5"/>
  <c r="N20" i="5"/>
  <c r="R20" i="5"/>
  <c r="V20" i="5"/>
  <c r="Z20" i="5"/>
  <c r="AD20" i="5"/>
  <c r="AH20" i="5"/>
  <c r="AL20" i="5"/>
  <c r="AP20" i="5"/>
  <c r="AT20" i="5"/>
  <c r="N21" i="5"/>
  <c r="R21" i="5"/>
  <c r="V21" i="5"/>
  <c r="Z21" i="5"/>
  <c r="AD21" i="5"/>
  <c r="AH21" i="5"/>
  <c r="AL21" i="5"/>
  <c r="AP21" i="5"/>
  <c r="AT21" i="5"/>
  <c r="N22" i="5"/>
  <c r="R22" i="5"/>
  <c r="T6" i="5"/>
  <c r="AF6" i="5"/>
  <c r="AQ6" i="5"/>
  <c r="P7" i="5"/>
  <c r="AB7" i="5"/>
  <c r="AM7" i="5"/>
  <c r="AV7" i="5"/>
  <c r="X8" i="5"/>
  <c r="AI8" i="5"/>
  <c r="AR8" i="5"/>
  <c r="T9" i="5"/>
  <c r="AE9" i="5"/>
  <c r="AN9" i="5"/>
  <c r="P10" i="5"/>
  <c r="AA10" i="5"/>
  <c r="AJ10" i="5"/>
  <c r="AV10" i="5"/>
  <c r="W11" i="5"/>
  <c r="AF11" i="5"/>
  <c r="AR11" i="5"/>
  <c r="S12" i="5"/>
  <c r="AB12" i="5"/>
  <c r="AN12" i="5"/>
  <c r="O13" i="5"/>
  <c r="X13" i="5"/>
  <c r="AJ13" i="5"/>
  <c r="AU13" i="5"/>
  <c r="T14" i="5"/>
  <c r="AF14" i="5"/>
  <c r="AQ14" i="5"/>
  <c r="P15" i="5"/>
  <c r="Y15" i="5"/>
  <c r="AE15" i="5"/>
  <c r="AJ15" i="5"/>
  <c r="AP15" i="5"/>
  <c r="AU15" i="5"/>
  <c r="P16" i="5"/>
  <c r="V16" i="5"/>
  <c r="AA16" i="5"/>
  <c r="AF16" i="5"/>
  <c r="AL16" i="5"/>
  <c r="AQ16" i="5"/>
  <c r="AV16" i="5"/>
  <c r="R17" i="5"/>
  <c r="W17" i="5"/>
  <c r="AB17" i="5"/>
  <c r="AH17" i="5"/>
  <c r="AM17" i="5"/>
  <c r="AR17" i="5"/>
  <c r="N18" i="5"/>
  <c r="S18" i="5"/>
  <c r="X18" i="5"/>
  <c r="AD18" i="5"/>
  <c r="AI18" i="5"/>
  <c r="AN18" i="5"/>
  <c r="AT18" i="5"/>
  <c r="O19" i="5"/>
  <c r="S19" i="5"/>
  <c r="W19" i="5"/>
  <c r="AA19" i="5"/>
  <c r="AE19" i="5"/>
  <c r="AI19" i="5"/>
  <c r="AM19" i="5"/>
  <c r="AQ19" i="5"/>
  <c r="AU19" i="5"/>
  <c r="O20" i="5"/>
  <c r="S20" i="5"/>
  <c r="W20" i="5"/>
  <c r="AA20" i="5"/>
  <c r="AE20" i="5"/>
  <c r="AI20" i="5"/>
  <c r="AM20" i="5"/>
  <c r="AQ20" i="5"/>
  <c r="AU20" i="5"/>
  <c r="O21" i="5"/>
  <c r="S21" i="5"/>
  <c r="W21" i="5"/>
  <c r="AA21" i="5"/>
  <c r="AE21" i="5"/>
  <c r="AI21" i="5"/>
  <c r="AM21" i="5"/>
  <c r="AQ21" i="5"/>
  <c r="AU21" i="5"/>
  <c r="O22" i="5"/>
  <c r="S22" i="5"/>
  <c r="X22" i="5"/>
  <c r="AB22" i="5"/>
  <c r="AF22" i="5"/>
  <c r="AJ22" i="5"/>
  <c r="AN22" i="5"/>
  <c r="AR22" i="5"/>
  <c r="AV22" i="5"/>
  <c r="P23" i="5"/>
  <c r="T23" i="5"/>
  <c r="X23" i="5"/>
  <c r="AB23" i="5"/>
  <c r="AF23" i="5"/>
  <c r="AJ23" i="5"/>
  <c r="AN23" i="5"/>
  <c r="AR23" i="5"/>
  <c r="AV23" i="5"/>
  <c r="P24" i="5"/>
  <c r="T24" i="5"/>
  <c r="X24" i="5"/>
  <c r="AB24" i="5"/>
  <c r="AF24" i="5"/>
  <c r="AJ24" i="5"/>
  <c r="AN24" i="5"/>
  <c r="AR24" i="5"/>
  <c r="AV24" i="5"/>
  <c r="P25" i="5"/>
  <c r="T25" i="5"/>
  <c r="X25" i="5"/>
  <c r="AB25" i="5"/>
  <c r="AF25" i="5"/>
  <c r="AJ25" i="5"/>
  <c r="AN25" i="5"/>
  <c r="AR25" i="5"/>
  <c r="AV25" i="5"/>
  <c r="P26" i="5"/>
  <c r="T26" i="5"/>
  <c r="X26" i="5"/>
  <c r="AB26" i="5"/>
  <c r="AF26" i="5"/>
  <c r="AJ26" i="5"/>
  <c r="AN26" i="5"/>
  <c r="AR26" i="5"/>
  <c r="AV26" i="5"/>
  <c r="P27" i="5"/>
  <c r="T27" i="5"/>
  <c r="X27" i="5"/>
  <c r="AB27" i="5"/>
  <c r="AF27" i="5"/>
  <c r="AJ27" i="5"/>
  <c r="AN27" i="5"/>
  <c r="AR27" i="5"/>
  <c r="AV27" i="5"/>
  <c r="P28" i="5"/>
  <c r="T28" i="5"/>
  <c r="X28" i="5"/>
  <c r="AB28" i="5"/>
  <c r="AF28" i="5"/>
  <c r="AJ28" i="5"/>
  <c r="AN28" i="5"/>
  <c r="AR28" i="5"/>
  <c r="AV28" i="5"/>
  <c r="P29" i="5"/>
  <c r="T29" i="5"/>
  <c r="X29" i="5"/>
  <c r="AB29" i="5"/>
  <c r="AF29" i="5"/>
  <c r="AJ29" i="5"/>
  <c r="AN29" i="5"/>
  <c r="AR29" i="5"/>
  <c r="AV29" i="5"/>
  <c r="P30" i="5"/>
  <c r="T30" i="5"/>
  <c r="X30" i="5"/>
  <c r="AB30" i="5"/>
  <c r="AF30" i="5"/>
  <c r="AJ30" i="5"/>
  <c r="AN30" i="5"/>
  <c r="AR30" i="5"/>
  <c r="AV30" i="5"/>
  <c r="P31" i="5"/>
  <c r="T31" i="5"/>
  <c r="X31" i="5"/>
  <c r="AB31" i="5"/>
  <c r="AF31" i="5"/>
  <c r="AJ31" i="5"/>
  <c r="AN31" i="5"/>
  <c r="AR31" i="5"/>
  <c r="AV31" i="5"/>
  <c r="P32" i="5"/>
  <c r="T32" i="5"/>
  <c r="X32" i="5"/>
  <c r="AB32" i="5"/>
  <c r="AF32" i="5"/>
  <c r="AJ32" i="5"/>
  <c r="AN32" i="5"/>
  <c r="AR32" i="5"/>
  <c r="AV32" i="5"/>
  <c r="P33" i="5"/>
  <c r="T33" i="5"/>
  <c r="X33" i="5"/>
  <c r="AB33" i="5"/>
  <c r="AF33" i="5"/>
  <c r="AJ33" i="5"/>
  <c r="AN33" i="5"/>
  <c r="AR33" i="5"/>
  <c r="AV33" i="5"/>
  <c r="P34" i="5"/>
  <c r="T34" i="5"/>
  <c r="X34" i="5"/>
  <c r="AB34" i="5"/>
  <c r="AF34" i="5"/>
  <c r="AJ34" i="5"/>
  <c r="AN34" i="5"/>
  <c r="AR34" i="5"/>
  <c r="AV34" i="5"/>
  <c r="P35" i="5"/>
  <c r="T35" i="5"/>
  <c r="X35" i="5"/>
  <c r="AB35" i="5"/>
  <c r="AF35" i="5"/>
  <c r="AJ35" i="5"/>
  <c r="AN35" i="5"/>
  <c r="AR35" i="5"/>
  <c r="AV35" i="5"/>
  <c r="P36" i="5"/>
  <c r="T36" i="5"/>
  <c r="X36" i="5"/>
  <c r="AB36" i="5"/>
  <c r="AF36" i="5"/>
  <c r="AJ36" i="5"/>
  <c r="AN36" i="5"/>
  <c r="AR36" i="5"/>
  <c r="AV36" i="5"/>
  <c r="P37" i="5"/>
  <c r="T37" i="5"/>
  <c r="X37" i="5"/>
  <c r="AB37" i="5"/>
  <c r="AF37" i="5"/>
  <c r="AJ37" i="5"/>
  <c r="AN37" i="5"/>
  <c r="AR37" i="5"/>
  <c r="AV37" i="5"/>
  <c r="P38" i="5"/>
  <c r="T38" i="5"/>
  <c r="X38" i="5"/>
  <c r="AB38" i="5"/>
  <c r="AF38" i="5"/>
  <c r="AJ38" i="5"/>
  <c r="AN38" i="5"/>
  <c r="AR38" i="5"/>
  <c r="AV38" i="5"/>
  <c r="P39" i="5"/>
  <c r="T39" i="5"/>
  <c r="X39" i="5"/>
  <c r="AB39" i="5"/>
  <c r="AF39" i="5"/>
  <c r="AJ39" i="5"/>
  <c r="AN39" i="5"/>
  <c r="AR39" i="5"/>
  <c r="AV39" i="5"/>
  <c r="P40" i="5"/>
  <c r="T40" i="5"/>
  <c r="X40" i="5"/>
  <c r="AB40" i="5"/>
  <c r="AF40" i="5"/>
  <c r="AJ40" i="5"/>
  <c r="AN40" i="5"/>
  <c r="AR40" i="5"/>
  <c r="AV40" i="5"/>
  <c r="P41" i="5"/>
  <c r="U22" i="5"/>
  <c r="Y22" i="5"/>
  <c r="AC22" i="5"/>
  <c r="AG22" i="5"/>
  <c r="AK22" i="5"/>
  <c r="AO22" i="5"/>
  <c r="AS22" i="5"/>
  <c r="M23" i="5"/>
  <c r="Q23" i="5"/>
  <c r="U23" i="5"/>
  <c r="Y23" i="5"/>
  <c r="AC23" i="5"/>
  <c r="AG23" i="5"/>
  <c r="AK23" i="5"/>
  <c r="AO23" i="5"/>
  <c r="AS23" i="5"/>
  <c r="M24" i="5"/>
  <c r="Q24" i="5"/>
  <c r="U24" i="5"/>
  <c r="Y24" i="5"/>
  <c r="AC24" i="5"/>
  <c r="AG24" i="5"/>
  <c r="AK24" i="5"/>
  <c r="AO24" i="5"/>
  <c r="AS24" i="5"/>
  <c r="M25" i="5"/>
  <c r="Q25" i="5"/>
  <c r="U25" i="5"/>
  <c r="Y25" i="5"/>
  <c r="AC25" i="5"/>
  <c r="AG25" i="5"/>
  <c r="AK25" i="5"/>
  <c r="AO25" i="5"/>
  <c r="AS25" i="5"/>
  <c r="M26" i="5"/>
  <c r="Q26" i="5"/>
  <c r="U26" i="5"/>
  <c r="Y26" i="5"/>
  <c r="AC26" i="5"/>
  <c r="AG26" i="5"/>
  <c r="AK26" i="5"/>
  <c r="AO26" i="5"/>
  <c r="AS26" i="5"/>
  <c r="M27" i="5"/>
  <c r="Q27" i="5"/>
  <c r="U27" i="5"/>
  <c r="Y27" i="5"/>
  <c r="AC27" i="5"/>
  <c r="AG27" i="5"/>
  <c r="AK27" i="5"/>
  <c r="AO27" i="5"/>
  <c r="AS27" i="5"/>
  <c r="M28" i="5"/>
  <c r="Q28" i="5"/>
  <c r="U28" i="5"/>
  <c r="Y28" i="5"/>
  <c r="AC28" i="5"/>
  <c r="AG28" i="5"/>
  <c r="AK28" i="5"/>
  <c r="AO28" i="5"/>
  <c r="AS28" i="5"/>
  <c r="M29" i="5"/>
  <c r="Q29" i="5"/>
  <c r="U29" i="5"/>
  <c r="Y29" i="5"/>
  <c r="AC29" i="5"/>
  <c r="AG29" i="5"/>
  <c r="AK29" i="5"/>
  <c r="AO29" i="5"/>
  <c r="AS29" i="5"/>
  <c r="M30" i="5"/>
  <c r="Q30" i="5"/>
  <c r="U30" i="5"/>
  <c r="Y30" i="5"/>
  <c r="AC30" i="5"/>
  <c r="AG30" i="5"/>
  <c r="AK30" i="5"/>
  <c r="AO30" i="5"/>
  <c r="AS30" i="5"/>
  <c r="M31" i="5"/>
  <c r="Q31" i="5"/>
  <c r="U31" i="5"/>
  <c r="Y31" i="5"/>
  <c r="AC31" i="5"/>
  <c r="AG31" i="5"/>
  <c r="AK31" i="5"/>
  <c r="AO31" i="5"/>
  <c r="AS31" i="5"/>
  <c r="M32" i="5"/>
  <c r="Q32" i="5"/>
  <c r="U32" i="5"/>
  <c r="Y32" i="5"/>
  <c r="AC32" i="5"/>
  <c r="AG32" i="5"/>
  <c r="AK32" i="5"/>
  <c r="AO32" i="5"/>
  <c r="AS32" i="5"/>
  <c r="M33" i="5"/>
  <c r="Q33" i="5"/>
  <c r="U33" i="5"/>
  <c r="Y33" i="5"/>
  <c r="AC33" i="5"/>
  <c r="AG33" i="5"/>
  <c r="AK33" i="5"/>
  <c r="AO33" i="5"/>
  <c r="AS33" i="5"/>
  <c r="M34" i="5"/>
  <c r="Q34" i="5"/>
  <c r="U34" i="5"/>
  <c r="Y34" i="5"/>
  <c r="AC34" i="5"/>
  <c r="AG34" i="5"/>
  <c r="AK34" i="5"/>
  <c r="AO34" i="5"/>
  <c r="AS34" i="5"/>
  <c r="M35" i="5"/>
  <c r="Q35" i="5"/>
  <c r="U35" i="5"/>
  <c r="Y35" i="5"/>
  <c r="AC35" i="5"/>
  <c r="AG35" i="5"/>
  <c r="AK35" i="5"/>
  <c r="AO35" i="5"/>
  <c r="AS35" i="5"/>
  <c r="M36" i="5"/>
  <c r="Q36" i="5"/>
  <c r="U36" i="5"/>
  <c r="Y36" i="5"/>
  <c r="AC36" i="5"/>
  <c r="AG36" i="5"/>
  <c r="AK36" i="5"/>
  <c r="AO36" i="5"/>
  <c r="AS36" i="5"/>
  <c r="M37" i="5"/>
  <c r="Q37" i="5"/>
  <c r="U37" i="5"/>
  <c r="Y37" i="5"/>
  <c r="AC37" i="5"/>
  <c r="AG37" i="5"/>
  <c r="AK37" i="5"/>
  <c r="AO37" i="5"/>
  <c r="AS37" i="5"/>
  <c r="M38" i="5"/>
  <c r="Q38" i="5"/>
  <c r="U38" i="5"/>
  <c r="Y38" i="5"/>
  <c r="AC38" i="5"/>
  <c r="AG38" i="5"/>
  <c r="AK38" i="5"/>
  <c r="AO38" i="5"/>
  <c r="AS38" i="5"/>
  <c r="M39" i="5"/>
  <c r="Q39" i="5"/>
  <c r="U39" i="5"/>
  <c r="Y39" i="5"/>
  <c r="AC39" i="5"/>
  <c r="AG39" i="5"/>
  <c r="AK39" i="5"/>
  <c r="AO39" i="5"/>
  <c r="AS39" i="5"/>
  <c r="M40" i="5"/>
  <c r="Q40" i="5"/>
  <c r="U40" i="5"/>
  <c r="Y40" i="5"/>
  <c r="AC40" i="5"/>
  <c r="AG40" i="5"/>
  <c r="AK40" i="5"/>
  <c r="AO40" i="5"/>
  <c r="AS40" i="5"/>
  <c r="M41" i="5"/>
  <c r="V22" i="5"/>
  <c r="Z22" i="5"/>
  <c r="AD22" i="5"/>
  <c r="AH22" i="5"/>
  <c r="AL22" i="5"/>
  <c r="AP22" i="5"/>
  <c r="AT22" i="5"/>
  <c r="N23" i="5"/>
  <c r="R23" i="5"/>
  <c r="V23" i="5"/>
  <c r="Z23" i="5"/>
  <c r="AD23" i="5"/>
  <c r="AH23" i="5"/>
  <c r="AL23" i="5"/>
  <c r="AP23" i="5"/>
  <c r="AT23" i="5"/>
  <c r="N24" i="5"/>
  <c r="R24" i="5"/>
  <c r="V24" i="5"/>
  <c r="Z24" i="5"/>
  <c r="AD24" i="5"/>
  <c r="AH24" i="5"/>
  <c r="AL24" i="5"/>
  <c r="AP24" i="5"/>
  <c r="AT24" i="5"/>
  <c r="N25" i="5"/>
  <c r="R25" i="5"/>
  <c r="V25" i="5"/>
  <c r="Z25" i="5"/>
  <c r="AD25" i="5"/>
  <c r="AH25" i="5"/>
  <c r="AL25" i="5"/>
  <c r="AP25" i="5"/>
  <c r="AT25" i="5"/>
  <c r="N26" i="5"/>
  <c r="R26" i="5"/>
  <c r="V26" i="5"/>
  <c r="Z26" i="5"/>
  <c r="AD26" i="5"/>
  <c r="AH26" i="5"/>
  <c r="AL26" i="5"/>
  <c r="AP26" i="5"/>
  <c r="AT26" i="5"/>
  <c r="N27" i="5"/>
  <c r="R27" i="5"/>
  <c r="V27" i="5"/>
  <c r="Z27" i="5"/>
  <c r="AD27" i="5"/>
  <c r="AH27" i="5"/>
  <c r="AL27" i="5"/>
  <c r="AP27" i="5"/>
  <c r="AT27" i="5"/>
  <c r="N28" i="5"/>
  <c r="R28" i="5"/>
  <c r="V28" i="5"/>
  <c r="Z28" i="5"/>
  <c r="AD28" i="5"/>
  <c r="AH28" i="5"/>
  <c r="AL28" i="5"/>
  <c r="AP28" i="5"/>
  <c r="AT28" i="5"/>
  <c r="N29" i="5"/>
  <c r="R29" i="5"/>
  <c r="V29" i="5"/>
  <c r="Z29" i="5"/>
  <c r="AD29" i="5"/>
  <c r="AH29" i="5"/>
  <c r="AL29" i="5"/>
  <c r="AP29" i="5"/>
  <c r="AT29" i="5"/>
  <c r="N30" i="5"/>
  <c r="R30" i="5"/>
  <c r="V30" i="5"/>
  <c r="Z30" i="5"/>
  <c r="AD30" i="5"/>
  <c r="AH30" i="5"/>
  <c r="AL30" i="5"/>
  <c r="AP30" i="5"/>
  <c r="AT30" i="5"/>
  <c r="N31" i="5"/>
  <c r="R31" i="5"/>
  <c r="V31" i="5"/>
  <c r="Z31" i="5"/>
  <c r="AD31" i="5"/>
  <c r="AH31" i="5"/>
  <c r="AL31" i="5"/>
  <c r="AP31" i="5"/>
  <c r="AT31" i="5"/>
  <c r="N32" i="5"/>
  <c r="R32" i="5"/>
  <c r="V32" i="5"/>
  <c r="Z32" i="5"/>
  <c r="AD32" i="5"/>
  <c r="AH32" i="5"/>
  <c r="AL32" i="5"/>
  <c r="AP32" i="5"/>
  <c r="AT32" i="5"/>
  <c r="N33" i="5"/>
  <c r="R33" i="5"/>
  <c r="V33" i="5"/>
  <c r="Z33" i="5"/>
  <c r="AD33" i="5"/>
  <c r="AH33" i="5"/>
  <c r="AL33" i="5"/>
  <c r="AP33" i="5"/>
  <c r="AT33" i="5"/>
  <c r="N34" i="5"/>
  <c r="R34" i="5"/>
  <c r="V34" i="5"/>
  <c r="Z34" i="5"/>
  <c r="AD34" i="5"/>
  <c r="AH34" i="5"/>
  <c r="AL34" i="5"/>
  <c r="AP34" i="5"/>
  <c r="AT34" i="5"/>
  <c r="N35" i="5"/>
  <c r="R35" i="5"/>
  <c r="V35" i="5"/>
  <c r="Z35" i="5"/>
  <c r="AD35" i="5"/>
  <c r="AH35" i="5"/>
  <c r="AL35" i="5"/>
  <c r="AP35" i="5"/>
  <c r="AT35" i="5"/>
  <c r="N36" i="5"/>
  <c r="R36" i="5"/>
  <c r="V36" i="5"/>
  <c r="Z36" i="5"/>
  <c r="AD36" i="5"/>
  <c r="AH36" i="5"/>
  <c r="AL36" i="5"/>
  <c r="AP36" i="5"/>
  <c r="AT36" i="5"/>
  <c r="N37" i="5"/>
  <c r="R37" i="5"/>
  <c r="V37" i="5"/>
  <c r="Z37" i="5"/>
  <c r="AD37" i="5"/>
  <c r="AH37" i="5"/>
  <c r="AL37" i="5"/>
  <c r="AP37" i="5"/>
  <c r="AT37" i="5"/>
  <c r="N38" i="5"/>
  <c r="R38" i="5"/>
  <c r="V38" i="5"/>
  <c r="Z38" i="5"/>
  <c r="AD38" i="5"/>
  <c r="AH38" i="5"/>
  <c r="AL38" i="5"/>
  <c r="AP38" i="5"/>
  <c r="AT38" i="5"/>
  <c r="N39" i="5"/>
  <c r="R39" i="5"/>
  <c r="V39" i="5"/>
  <c r="Z39" i="5"/>
  <c r="AD39" i="5"/>
  <c r="AH39" i="5"/>
  <c r="AL39" i="5"/>
  <c r="AP39" i="5"/>
  <c r="AT39" i="5"/>
  <c r="N40" i="5"/>
  <c r="R40" i="5"/>
  <c r="V40" i="5"/>
  <c r="Z40" i="5"/>
  <c r="AD40" i="5"/>
  <c r="AH40" i="5"/>
  <c r="AL40" i="5"/>
  <c r="AP40" i="5"/>
  <c r="AT40" i="5"/>
  <c r="N41" i="5"/>
  <c r="W22" i="5"/>
  <c r="AA22" i="5"/>
  <c r="AE22" i="5"/>
  <c r="AI22" i="5"/>
  <c r="AM22" i="5"/>
  <c r="AQ22" i="5"/>
  <c r="AU22" i="5"/>
  <c r="O23" i="5"/>
  <c r="S23" i="5"/>
  <c r="W23" i="5"/>
  <c r="AA23" i="5"/>
  <c r="AE23" i="5"/>
  <c r="AI23" i="5"/>
  <c r="AM23" i="5"/>
  <c r="AQ23" i="5"/>
  <c r="AU23" i="5"/>
  <c r="O24" i="5"/>
  <c r="S24" i="5"/>
  <c r="W24" i="5"/>
  <c r="AA24" i="5"/>
  <c r="AE24" i="5"/>
  <c r="AI24" i="5"/>
  <c r="AM24" i="5"/>
  <c r="AQ24" i="5"/>
  <c r="AU24" i="5"/>
  <c r="O25" i="5"/>
  <c r="S25" i="5"/>
  <c r="W25" i="5"/>
  <c r="AA25" i="5"/>
  <c r="AE25" i="5"/>
  <c r="AI25" i="5"/>
  <c r="AM25" i="5"/>
  <c r="AQ25" i="5"/>
  <c r="AU25" i="5"/>
  <c r="O26" i="5"/>
  <c r="S26" i="5"/>
  <c r="W26" i="5"/>
  <c r="AA26" i="5"/>
  <c r="AE26" i="5"/>
  <c r="AI26" i="5"/>
  <c r="AM26" i="5"/>
  <c r="AQ26" i="5"/>
  <c r="AU26" i="5"/>
  <c r="O27" i="5"/>
  <c r="S27" i="5"/>
  <c r="W27" i="5"/>
  <c r="AA27" i="5"/>
  <c r="AE27" i="5"/>
  <c r="AI27" i="5"/>
  <c r="AM27" i="5"/>
  <c r="AQ27" i="5"/>
  <c r="AU27" i="5"/>
  <c r="O28" i="5"/>
  <c r="S28" i="5"/>
  <c r="W28" i="5"/>
  <c r="AA28" i="5"/>
  <c r="AE28" i="5"/>
  <c r="AI28" i="5"/>
  <c r="AM28" i="5"/>
  <c r="AQ28" i="5"/>
  <c r="AU28" i="5"/>
  <c r="O29" i="5"/>
  <c r="S29" i="5"/>
  <c r="W29" i="5"/>
  <c r="AA29" i="5"/>
  <c r="AE29" i="5"/>
  <c r="AI29" i="5"/>
  <c r="AM29" i="5"/>
  <c r="AQ29" i="5"/>
  <c r="AU29" i="5"/>
  <c r="O30" i="5"/>
  <c r="S30" i="5"/>
  <c r="W30" i="5"/>
  <c r="AA30" i="5"/>
  <c r="AE30" i="5"/>
  <c r="AI30" i="5"/>
  <c r="AM30" i="5"/>
  <c r="AQ30" i="5"/>
  <c r="AU30" i="5"/>
  <c r="O31" i="5"/>
  <c r="S31" i="5"/>
  <c r="W31" i="5"/>
  <c r="AA31" i="5"/>
  <c r="AE31" i="5"/>
  <c r="AI31" i="5"/>
  <c r="AM31" i="5"/>
  <c r="AQ31" i="5"/>
  <c r="AU31" i="5"/>
  <c r="O32" i="5"/>
  <c r="S32" i="5"/>
  <c r="W32" i="5"/>
  <c r="AA32" i="5"/>
  <c r="AE32" i="5"/>
  <c r="AI32" i="5"/>
  <c r="AM32" i="5"/>
  <c r="AQ32" i="5"/>
  <c r="AU32" i="5"/>
  <c r="O33" i="5"/>
  <c r="S33" i="5"/>
  <c r="W33" i="5"/>
  <c r="AA33" i="5"/>
  <c r="AE33" i="5"/>
  <c r="AI33" i="5"/>
  <c r="AM33" i="5"/>
  <c r="AQ33" i="5"/>
  <c r="AU33" i="5"/>
  <c r="O34" i="5"/>
  <c r="S34" i="5"/>
  <c r="W34" i="5"/>
  <c r="AA34" i="5"/>
  <c r="AE34" i="5"/>
  <c r="AI34" i="5"/>
  <c r="AM34" i="5"/>
  <c r="AQ34" i="5"/>
  <c r="AU34" i="5"/>
  <c r="O35" i="5"/>
  <c r="S35" i="5"/>
  <c r="W35" i="5"/>
  <c r="AA35" i="5"/>
  <c r="AE35" i="5"/>
  <c r="AI35" i="5"/>
  <c r="AM35" i="5"/>
  <c r="AQ35" i="5"/>
  <c r="AU35" i="5"/>
  <c r="O36" i="5"/>
  <c r="S36" i="5"/>
  <c r="W36" i="5"/>
  <c r="AA36" i="5"/>
  <c r="AE36" i="5"/>
  <c r="AI36" i="5"/>
  <c r="AM36" i="5"/>
  <c r="AQ36" i="5"/>
  <c r="AU36" i="5"/>
  <c r="O37" i="5"/>
  <c r="S37" i="5"/>
  <c r="W37" i="5"/>
  <c r="AA37" i="5"/>
  <c r="AE37" i="5"/>
  <c r="AI37" i="5"/>
  <c r="AM37" i="5"/>
  <c r="AQ37" i="5"/>
  <c r="AU37" i="5"/>
  <c r="O38" i="5"/>
  <c r="S38" i="5"/>
  <c r="W38" i="5"/>
  <c r="AA38" i="5"/>
  <c r="AE38" i="5"/>
  <c r="AI38" i="5"/>
  <c r="AM38" i="5"/>
  <c r="AQ38" i="5"/>
  <c r="AU38" i="5"/>
  <c r="O39" i="5"/>
  <c r="S39" i="5"/>
  <c r="W39" i="5"/>
  <c r="AA39" i="5"/>
  <c r="AE39" i="5"/>
  <c r="AI39" i="5"/>
  <c r="AM39" i="5"/>
  <c r="AQ39" i="5"/>
  <c r="AU39" i="5"/>
  <c r="O40" i="5"/>
  <c r="S40" i="5"/>
  <c r="W40" i="5"/>
  <c r="AA40" i="5"/>
  <c r="AE40" i="5"/>
  <c r="AI40" i="5"/>
  <c r="AM40" i="5"/>
  <c r="AQ40" i="5"/>
  <c r="AU40" i="5"/>
  <c r="O41" i="5"/>
  <c r="T41" i="5"/>
  <c r="X41" i="5"/>
  <c r="AB41" i="5"/>
  <c r="AF41" i="5"/>
  <c r="AJ41" i="5"/>
  <c r="AN41" i="5"/>
  <c r="AR41" i="5"/>
  <c r="AV41" i="5"/>
  <c r="Q41" i="5"/>
  <c r="U41" i="5"/>
  <c r="Y41" i="5"/>
  <c r="AC41" i="5"/>
  <c r="AG41" i="5"/>
  <c r="AK41" i="5"/>
  <c r="AO41" i="5"/>
  <c r="AS41" i="5"/>
  <c r="R41" i="5"/>
  <c r="V41" i="5"/>
  <c r="Z41" i="5"/>
  <c r="AD41" i="5"/>
  <c r="AH41" i="5"/>
  <c r="AL41" i="5"/>
  <c r="AP41" i="5"/>
  <c r="AT41" i="5"/>
  <c r="S41" i="5"/>
  <c r="W41" i="5"/>
  <c r="AA41" i="5"/>
  <c r="AE41" i="5"/>
  <c r="AI41" i="5"/>
  <c r="AM41" i="5"/>
  <c r="AQ41" i="5"/>
  <c r="AU41" i="5"/>
  <c r="N15" i="5"/>
  <c r="AH14" i="5"/>
  <c r="R14" i="5"/>
  <c r="AL13" i="5"/>
  <c r="V13" i="5"/>
  <c r="AP12" i="5"/>
  <c r="Z12" i="5"/>
  <c r="AT11" i="5"/>
  <c r="AD11" i="5"/>
  <c r="N11" i="5"/>
  <c r="AH10" i="5"/>
  <c r="R10" i="5"/>
  <c r="AL9" i="5"/>
  <c r="V9" i="5"/>
  <c r="AP8" i="5"/>
  <c r="Z8" i="5"/>
  <c r="AT7" i="5"/>
  <c r="AD7" i="5"/>
  <c r="N7" i="5"/>
  <c r="AH6" i="5"/>
  <c r="R6" i="5"/>
  <c r="AS14" i="5"/>
  <c r="AC14" i="5"/>
  <c r="M14" i="5"/>
  <c r="AG13" i="5"/>
  <c r="Q13" i="5"/>
  <c r="AK12" i="5"/>
  <c r="U12" i="5"/>
  <c r="AO11" i="5"/>
  <c r="Y11" i="5"/>
  <c r="AS10" i="5"/>
  <c r="AC10" i="5"/>
  <c r="M10" i="5"/>
  <c r="AG9" i="5"/>
  <c r="Q9" i="5"/>
  <c r="AK8" i="5"/>
  <c r="U8" i="5"/>
  <c r="AO7" i="5"/>
  <c r="Y7" i="5"/>
  <c r="AS6" i="5"/>
  <c r="AC6" i="5"/>
  <c r="AP14" i="5"/>
  <c r="AD13" i="5"/>
  <c r="R12" i="5"/>
  <c r="V11" i="5"/>
  <c r="Z10" i="5"/>
  <c r="AD9" i="5"/>
  <c r="AH8" i="5"/>
  <c r="AL7" i="5"/>
  <c r="AP6" i="5"/>
  <c r="Q15" i="5"/>
  <c r="AO13" i="5"/>
  <c r="AS12" i="5"/>
  <c r="AG11" i="5"/>
  <c r="AK10" i="5"/>
  <c r="AS8" i="5"/>
  <c r="AG7" i="5"/>
  <c r="U6" i="5"/>
  <c r="Z15" i="5"/>
  <c r="AT14" i="5"/>
  <c r="AD14" i="5"/>
  <c r="N14" i="5"/>
  <c r="AH13" i="5"/>
  <c r="R13" i="5"/>
  <c r="AL12" i="5"/>
  <c r="V12" i="5"/>
  <c r="AP11" i="5"/>
  <c r="Z11" i="5"/>
  <c r="AT10" i="5"/>
  <c r="AD10" i="5"/>
  <c r="N10" i="5"/>
  <c r="AH9" i="5"/>
  <c r="R9" i="5"/>
  <c r="AL8" i="5"/>
  <c r="V8" i="5"/>
  <c r="AP7" i="5"/>
  <c r="Z7" i="5"/>
  <c r="AT6" i="5"/>
  <c r="AD6" i="5"/>
  <c r="N6" i="5"/>
  <c r="AO14" i="5"/>
  <c r="Y14" i="5"/>
  <c r="AS13" i="5"/>
  <c r="AC13" i="5"/>
  <c r="M13" i="5"/>
  <c r="AG12" i="5"/>
  <c r="Q12" i="5"/>
  <c r="AK11" i="5"/>
  <c r="U11" i="5"/>
  <c r="AO10" i="5"/>
  <c r="Y10" i="5"/>
  <c r="AS9" i="5"/>
  <c r="AC9" i="5"/>
  <c r="M9" i="5"/>
  <c r="AG8" i="5"/>
  <c r="Q8" i="5"/>
  <c r="AK7" i="5"/>
  <c r="U7" i="5"/>
  <c r="AO6" i="5"/>
  <c r="Y6" i="5"/>
  <c r="AH12" i="5"/>
  <c r="U14" i="5"/>
  <c r="M12" i="5"/>
  <c r="U10" i="5"/>
  <c r="AC8" i="5"/>
  <c r="AK6" i="5"/>
  <c r="V15" i="5"/>
  <c r="Z14" i="5"/>
  <c r="AT13" i="5"/>
  <c r="N13" i="5"/>
  <c r="AL11" i="5"/>
  <c r="AP10" i="5"/>
  <c r="AT9" i="5"/>
  <c r="N9" i="5"/>
  <c r="R8" i="5"/>
  <c r="V7" i="5"/>
  <c r="Z6" i="5"/>
  <c r="Y13" i="5"/>
  <c r="AC12" i="5"/>
  <c r="Q11" i="5"/>
  <c r="AO9" i="5"/>
  <c r="M8" i="5"/>
  <c r="R15" i="5"/>
  <c r="AL14" i="5"/>
  <c r="V14" i="5"/>
  <c r="AP13" i="5"/>
  <c r="Z13" i="5"/>
  <c r="AT12" i="5"/>
  <c r="AD12" i="5"/>
  <c r="N12" i="5"/>
  <c r="AH11" i="5"/>
  <c r="R11" i="5"/>
  <c r="AL10" i="5"/>
  <c r="V10" i="5"/>
  <c r="AP9" i="5"/>
  <c r="Z9" i="5"/>
  <c r="AT8" i="5"/>
  <c r="AD8" i="5"/>
  <c r="N8" i="5"/>
  <c r="AH7" i="5"/>
  <c r="R7" i="5"/>
  <c r="AL6" i="5"/>
  <c r="V6" i="5"/>
  <c r="M15" i="5"/>
  <c r="AG14" i="5"/>
  <c r="Q14" i="5"/>
  <c r="AK13" i="5"/>
  <c r="U13" i="5"/>
  <c r="AO12" i="5"/>
  <c r="Y12" i="5"/>
  <c r="AS11" i="5"/>
  <c r="AC11" i="5"/>
  <c r="M11" i="5"/>
  <c r="AG10" i="5"/>
  <c r="Q10" i="5"/>
  <c r="AK9" i="5"/>
  <c r="U9" i="5"/>
  <c r="AO8" i="5"/>
  <c r="Y8" i="5"/>
  <c r="AS7" i="5"/>
  <c r="AC7" i="5"/>
  <c r="M7" i="5"/>
  <c r="AG6" i="5"/>
  <c r="Q6" i="5"/>
  <c r="AK14" i="5"/>
  <c r="Y9" i="5"/>
  <c r="Q7" i="5"/>
  <c r="I16" i="4"/>
  <c r="I2" i="5" l="1" a="1"/>
  <c r="I2" i="5" l="1"/>
  <c r="K2" i="5" s="1"/>
  <c r="I28" i="5"/>
  <c r="K28" i="5" s="1"/>
  <c r="I12" i="5"/>
  <c r="K12" i="5" s="1"/>
  <c r="I33" i="5"/>
  <c r="K33" i="5" s="1"/>
  <c r="I17" i="5"/>
  <c r="K17" i="5" s="1"/>
  <c r="I35" i="5"/>
  <c r="K35" i="5" s="1"/>
  <c r="I19" i="5"/>
  <c r="K19" i="5" s="1"/>
  <c r="I3" i="5"/>
  <c r="K3" i="5" s="1"/>
  <c r="I22" i="5"/>
  <c r="K22" i="5" s="1"/>
  <c r="I6" i="5"/>
  <c r="K6" i="5" s="1"/>
  <c r="I24" i="5"/>
  <c r="K24" i="5" s="1"/>
  <c r="I8" i="5"/>
  <c r="K8" i="5" s="1"/>
  <c r="I29" i="5"/>
  <c r="K29" i="5" s="1"/>
  <c r="I13" i="5"/>
  <c r="K13" i="5" s="1"/>
  <c r="I31" i="5"/>
  <c r="K31" i="5" s="1"/>
  <c r="I15" i="5"/>
  <c r="K15" i="5" s="1"/>
  <c r="I34" i="5"/>
  <c r="K34" i="5" s="1"/>
  <c r="I18" i="5"/>
  <c r="K18" i="5" s="1"/>
  <c r="I36" i="5"/>
  <c r="K36" i="5" s="1"/>
  <c r="I20" i="5"/>
  <c r="K20" i="5" s="1"/>
  <c r="I4" i="5"/>
  <c r="K4" i="5" s="1"/>
  <c r="I25" i="5"/>
  <c r="K25" i="5" s="1"/>
  <c r="I9" i="5"/>
  <c r="K9" i="5" s="1"/>
  <c r="I27" i="5"/>
  <c r="K27" i="5" s="1"/>
  <c r="I11" i="5"/>
  <c r="K11" i="5" s="1"/>
  <c r="I30" i="5"/>
  <c r="K30" i="5" s="1"/>
  <c r="I14" i="5"/>
  <c r="K14" i="5" s="1"/>
  <c r="I32" i="5"/>
  <c r="K32" i="5" s="1"/>
  <c r="I16" i="5"/>
  <c r="K16" i="5" s="1"/>
  <c r="I37" i="5"/>
  <c r="K37" i="5" s="1"/>
  <c r="I21" i="5"/>
  <c r="K21" i="5" s="1"/>
  <c r="I5" i="5"/>
  <c r="K5" i="5" s="1"/>
  <c r="I23" i="5"/>
  <c r="K23" i="5" s="1"/>
  <c r="I7" i="5"/>
  <c r="K7" i="5" s="1"/>
  <c r="I26" i="5"/>
  <c r="K26" i="5" s="1"/>
  <c r="I10" i="5"/>
  <c r="K10" i="5" s="1"/>
</calcChain>
</file>

<file path=xl/sharedStrings.xml><?xml version="1.0" encoding="utf-8"?>
<sst xmlns="http://schemas.openxmlformats.org/spreadsheetml/2006/main" count="52" uniqueCount="35">
  <si>
    <t>Monthly data on manufacturing overhead costs</t>
  </si>
  <si>
    <t>Month</t>
  </si>
  <si>
    <t>MachHrs</t>
  </si>
  <si>
    <t>ProdRuns</t>
  </si>
  <si>
    <t>Overhead</t>
  </si>
  <si>
    <t>Intercept</t>
  </si>
  <si>
    <t>[X'Y] =</t>
  </si>
  <si>
    <t>[b]=</t>
  </si>
  <si>
    <t xml:space="preserve">TSS = </t>
  </si>
  <si>
    <t>[Y'Y]=</t>
  </si>
  <si>
    <t>RSS=</t>
  </si>
  <si>
    <t>ESS=</t>
  </si>
  <si>
    <r>
      <t>R</t>
    </r>
    <r>
      <rPr>
        <vertAlign val="superscript"/>
        <sz val="18"/>
        <rFont val="Arial"/>
        <family val="2"/>
      </rPr>
      <t>2</t>
    </r>
    <r>
      <rPr>
        <sz val="18"/>
        <rFont val="Arial"/>
        <family val="2"/>
      </rPr>
      <t>=</t>
    </r>
  </si>
  <si>
    <t>RMSE=</t>
  </si>
  <si>
    <t>ANOVA</t>
  </si>
  <si>
    <t>Reg</t>
  </si>
  <si>
    <t>Error</t>
  </si>
  <si>
    <t>Total</t>
  </si>
  <si>
    <t>Source</t>
  </si>
  <si>
    <t>Df</t>
  </si>
  <si>
    <t>Sum of Squares</t>
  </si>
  <si>
    <t>Mean Squares</t>
  </si>
  <si>
    <t>F</t>
  </si>
  <si>
    <t>p-Val</t>
  </si>
  <si>
    <t>X' =</t>
  </si>
  <si>
    <t>CROSS PRODUCT MATRIX</t>
  </si>
  <si>
    <t>VAR(B)</t>
  </si>
  <si>
    <t>Se(B)</t>
  </si>
  <si>
    <t>t-values</t>
  </si>
  <si>
    <t>p-Values</t>
  </si>
  <si>
    <t>b1</t>
  </si>
  <si>
    <t>b2</t>
  </si>
  <si>
    <t>B'=</t>
  </si>
  <si>
    <t>Y-Hat (HM)</t>
  </si>
  <si>
    <t>Y-hat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</si>
</sst>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8"/>
      <name val="Arial"/>
      <family val="2"/>
    </font>
    <font>
      <vertAlign val="superscript"/>
      <sz val="1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4" fillId="0" borderId="0" xfId="0" applyFont="1"/>
    <xf numFmtId="3" fontId="4" fillId="2" borderId="0" xfId="0" applyNumberFormat="1" applyFont="1" applyFill="1" applyAlignment="1">
      <alignment horizontal="center"/>
    </xf>
    <xf numFmtId="3" fontId="4" fillId="4" borderId="0" xfId="0" applyNumberFormat="1" applyFont="1" applyFill="1" applyAlignment="1">
      <alignment horizontal="center"/>
    </xf>
    <xf numFmtId="3" fontId="4" fillId="5" borderId="0" xfId="0" applyNumberFormat="1" applyFont="1" applyFill="1" applyAlignment="1">
      <alignment horizontal="center"/>
    </xf>
    <xf numFmtId="3" fontId="4" fillId="6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3" fontId="0" fillId="5" borderId="0" xfId="0" applyNumberFormat="1" applyFill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4" fillId="5" borderId="0" xfId="0" applyNumberFormat="1" applyFont="1" applyFill="1"/>
    <xf numFmtId="0" fontId="4" fillId="3" borderId="0" xfId="0" applyFont="1" applyFill="1"/>
    <xf numFmtId="2" fontId="4" fillId="3" borderId="0" xfId="0" applyNumberFormat="1" applyFont="1" applyFill="1" applyAlignment="1">
      <alignment horizontal="center"/>
    </xf>
    <xf numFmtId="3" fontId="4" fillId="3" borderId="0" xfId="0" applyNumberFormat="1" applyFont="1" applyFill="1"/>
    <xf numFmtId="10" fontId="4" fillId="3" borderId="0" xfId="0" applyNumberFormat="1" applyFont="1" applyFill="1" applyAlignment="1">
      <alignment horizontal="center"/>
    </xf>
    <xf numFmtId="4" fontId="4" fillId="3" borderId="0" xfId="0" applyNumberFormat="1" applyFont="1" applyFill="1"/>
    <xf numFmtId="164" fontId="4" fillId="3" borderId="0" xfId="0" applyNumberFormat="1" applyFont="1" applyFill="1"/>
    <xf numFmtId="164" fontId="4" fillId="9" borderId="0" xfId="0" applyNumberFormat="1" applyFont="1" applyFill="1"/>
    <xf numFmtId="0" fontId="4" fillId="10" borderId="0" xfId="0" applyFont="1" applyFill="1"/>
    <xf numFmtId="0" fontId="4" fillId="11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0" borderId="0" xfId="0" applyFont="1" applyAlignment="1">
      <alignment horizontal="right"/>
    </xf>
    <xf numFmtId="0" fontId="4" fillId="2" borderId="0" xfId="0" applyFon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254000</xdr:rowOff>
    </xdr:from>
    <xdr:ext cx="558800" cy="28180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AE8B8B-135B-4020-B70D-D30169A57A85}"/>
            </a:ext>
          </a:extLst>
        </xdr:cNvPr>
        <xdr:cNvSpPr txBox="1"/>
      </xdr:nvSpPr>
      <xdr:spPr>
        <a:xfrm>
          <a:off x="571500" y="539750"/>
          <a:ext cx="558800" cy="2818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n-US" sz="1800"/>
            <a:t>[X'X]=</a:t>
          </a:r>
        </a:p>
      </xdr:txBody>
    </xdr:sp>
    <xdr:clientData/>
  </xdr:oneCellAnchor>
  <xdr:oneCellAnchor>
    <xdr:from>
      <xdr:col>0</xdr:col>
      <xdr:colOff>111125</xdr:colOff>
      <xdr:row>5</xdr:row>
      <xdr:rowOff>0</xdr:rowOff>
    </xdr:from>
    <xdr:ext cx="1064074" cy="28629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A17ED84-06F6-4FF0-ABE3-A146380EEFEB}"/>
                </a:ext>
              </a:extLst>
            </xdr:cNvPr>
            <xdr:cNvSpPr txBox="1"/>
          </xdr:nvSpPr>
          <xdr:spPr>
            <a:xfrm>
              <a:off x="111125" y="2286000"/>
              <a:ext cx="1064074" cy="2862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</m:d>
                      </m:e>
                      <m:sup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A17ED84-06F6-4FF0-ABE3-A146380EEFEB}"/>
                </a:ext>
              </a:extLst>
            </xdr:cNvPr>
            <xdr:cNvSpPr txBox="1"/>
          </xdr:nvSpPr>
          <xdr:spPr>
            <a:xfrm>
              <a:off x="111125" y="2286000"/>
              <a:ext cx="1064074" cy="2862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i="0">
                  <a:latin typeface="Cambria Math" panose="02040503050406030204" pitchFamily="18" charset="0"/>
                </a:rPr>
                <a:t>[</a:t>
              </a:r>
              <a:r>
                <a:rPr lang="en-US" sz="1800" b="0" i="0">
                  <a:latin typeface="Cambria Math" panose="02040503050406030204" pitchFamily="18" charset="0"/>
                </a:rPr>
                <a:t>𝑋^′ 𝑋]^(−1)=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2</xdr:col>
      <xdr:colOff>60325</xdr:colOff>
      <xdr:row>9</xdr:row>
      <xdr:rowOff>12700</xdr:rowOff>
    </xdr:from>
    <xdr:ext cx="1316130" cy="2550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A4B6E36-A3A1-4192-A501-FB762822E21C}"/>
                </a:ext>
              </a:extLst>
            </xdr:cNvPr>
            <xdr:cNvSpPr txBox="1"/>
          </xdr:nvSpPr>
          <xdr:spPr>
            <a:xfrm>
              <a:off x="1431925" y="3441700"/>
              <a:ext cx="1316130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′</m:t>
                            </m:r>
                          </m:sup>
                        </m:sSup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𝑛</m:t>
                    </m:r>
                    <m:sSup>
                      <m:sSup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acc>
                          <m:accPr>
                            <m:chr m:val="̅"/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</m:acc>
                      </m:e>
                      <m:sup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A4B6E36-A3A1-4192-A501-FB762822E21C}"/>
                </a:ext>
              </a:extLst>
            </xdr:cNvPr>
            <xdr:cNvSpPr txBox="1"/>
          </xdr:nvSpPr>
          <xdr:spPr>
            <a:xfrm>
              <a:off x="1431925" y="3441700"/>
              <a:ext cx="1316130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i="0">
                  <a:latin typeface="Cambria Math" panose="02040503050406030204" pitchFamily="18" charset="0"/>
                </a:rPr>
                <a:t>[</a:t>
              </a:r>
              <a:r>
                <a:rPr lang="en-US" sz="1600" b="0" i="0">
                  <a:latin typeface="Cambria Math" panose="02040503050406030204" pitchFamily="18" charset="0"/>
                </a:rPr>
                <a:t>𝑌^′ 𝑌]−𝑛𝑌 ̅^2=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3</xdr:col>
      <xdr:colOff>206375</xdr:colOff>
      <xdr:row>8</xdr:row>
      <xdr:rowOff>76200</xdr:rowOff>
    </xdr:from>
    <xdr:ext cx="1568699" cy="4941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6CF2BA6-1E47-45CA-8BF9-0431062F66C8}"/>
                </a:ext>
              </a:extLst>
            </xdr:cNvPr>
            <xdr:cNvSpPr txBox="1"/>
          </xdr:nvSpPr>
          <xdr:spPr>
            <a:xfrm>
              <a:off x="2625725" y="2438400"/>
              <a:ext cx="1568699" cy="4941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′</m:t>
                            </m:r>
                          </m:sup>
                        </m:sSup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b>
                                      <m:sSubPr>
                                        <m:ctrlPr>
                                          <a:rPr lang="en-US" sz="16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</a:rPr>
                                          <m:t>𝑌</m:t>
                                        </m:r>
                                      </m:e>
                                      <m:sub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nary>
                              </m:e>
                            </m:d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6CF2BA6-1E47-45CA-8BF9-0431062F66C8}"/>
                </a:ext>
              </a:extLst>
            </xdr:cNvPr>
            <xdr:cNvSpPr txBox="1"/>
          </xdr:nvSpPr>
          <xdr:spPr>
            <a:xfrm>
              <a:off x="2625725" y="2438400"/>
              <a:ext cx="1568699" cy="4941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[𝑌^′ 𝑌]−(∑▒𝑌_𝑖 )^2/𝑛=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2</xdr:col>
      <xdr:colOff>3175</xdr:colOff>
      <xdr:row>12</xdr:row>
      <xdr:rowOff>63500</xdr:rowOff>
    </xdr:from>
    <xdr:ext cx="1528239" cy="2550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18258F7-4C70-49E8-A981-14072CABE5F6}"/>
                </a:ext>
              </a:extLst>
            </xdr:cNvPr>
            <xdr:cNvSpPr txBox="1"/>
          </xdr:nvSpPr>
          <xdr:spPr>
            <a:xfrm>
              <a:off x="1374775" y="4349750"/>
              <a:ext cx="1528239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sSup>
                              <m:sSup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𝐵</m:t>
                                </m:r>
                              </m:e>
                              <m:sup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p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′</m:t>
                            </m:r>
                          </m:sup>
                        </m:sSup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𝑛</m:t>
                    </m:r>
                    <m:sSup>
                      <m:sSup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acc>
                          <m:accPr>
                            <m:chr m:val="̅"/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</m:acc>
                      </m:e>
                      <m:sup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18258F7-4C70-49E8-A981-14072CABE5F6}"/>
                </a:ext>
              </a:extLst>
            </xdr:cNvPr>
            <xdr:cNvSpPr txBox="1"/>
          </xdr:nvSpPr>
          <xdr:spPr>
            <a:xfrm>
              <a:off x="1374775" y="4349750"/>
              <a:ext cx="1528239" cy="2550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i="0">
                  <a:latin typeface="Cambria Math" panose="02040503050406030204" pitchFamily="18" charset="0"/>
                </a:rPr>
                <a:t>[</a:t>
              </a:r>
              <a:r>
                <a:rPr lang="en-US" sz="1600" b="0" i="0">
                  <a:latin typeface="Cambria Math" panose="02040503050406030204" pitchFamily="18" charset="0"/>
                </a:rPr>
                <a:t>〖𝐵^′ 𝑋〗^′ 𝑌]−𝑛𝑌 ̅^2=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3</xdr:col>
      <xdr:colOff>142875</xdr:colOff>
      <xdr:row>11</xdr:row>
      <xdr:rowOff>222250</xdr:rowOff>
    </xdr:from>
    <xdr:ext cx="1550233" cy="4377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5D816E9-9152-4D0A-BF4A-ADE25323F3B0}"/>
                </a:ext>
              </a:extLst>
            </xdr:cNvPr>
            <xdr:cNvSpPr txBox="1"/>
          </xdr:nvSpPr>
          <xdr:spPr>
            <a:xfrm>
              <a:off x="2562225" y="3527425"/>
              <a:ext cx="1550233" cy="4377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sSup>
                              <m:sSup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𝐵</m:t>
                                </m:r>
                              </m:e>
                              <m:sup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′</m:t>
                            </m:r>
                          </m:sup>
                        </m:s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d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b>
                                      <m:sSubPr>
                                        <m:ctrlPr>
                                          <a:rPr lang="en-US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𝑌</m:t>
                                        </m:r>
                                      </m:e>
                                      <m:sub>
                                        <m:r>
                                          <a:rPr lang="en-US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nary>
                              </m:e>
                            </m:d>
                          </m:e>
                          <m:sup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5D816E9-9152-4D0A-BF4A-ADE25323F3B0}"/>
                </a:ext>
              </a:extLst>
            </xdr:cNvPr>
            <xdr:cNvSpPr txBox="1"/>
          </xdr:nvSpPr>
          <xdr:spPr>
            <a:xfrm>
              <a:off x="2562225" y="3527425"/>
              <a:ext cx="1550233" cy="4377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[〖𝐵^′ 𝑋〗^′ 𝑌]−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(∑▒𝑌_𝑖 )^2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𝑛=</a:t>
              </a:r>
              <a:endParaRPr lang="en-US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9"/>
  <sheetViews>
    <sheetView zoomScale="120" workbookViewId="0">
      <selection sqref="A1:A1048576"/>
    </sheetView>
  </sheetViews>
  <sheetFormatPr defaultColWidth="9.140625" defaultRowHeight="15" x14ac:dyDescent="0.2"/>
  <cols>
    <col min="1" max="1" width="9.7109375" style="2" customWidth="1"/>
    <col min="2" max="3" width="14" style="2" customWidth="1"/>
    <col min="4" max="4" width="15.28515625" style="2" customWidth="1"/>
    <col min="5" max="16384" width="9.140625" style="2"/>
  </cols>
  <sheetData>
    <row r="1" spans="1:4" ht="15.75" x14ac:dyDescent="0.25">
      <c r="A1" s="1" t="s">
        <v>0</v>
      </c>
    </row>
    <row r="3" spans="1:4" s="3" customFormat="1" ht="15.75" x14ac:dyDescent="0.25">
      <c r="A3" s="4" t="s">
        <v>1</v>
      </c>
      <c r="B3" s="4" t="s">
        <v>2</v>
      </c>
      <c r="C3" s="4" t="s">
        <v>3</v>
      </c>
      <c r="D3" s="4" t="s">
        <v>4</v>
      </c>
    </row>
    <row r="4" spans="1:4" x14ac:dyDescent="0.2">
      <c r="A4" s="2">
        <v>1</v>
      </c>
      <c r="B4" s="2">
        <v>1539</v>
      </c>
      <c r="C4" s="2">
        <v>31</v>
      </c>
      <c r="D4" s="2">
        <v>99798</v>
      </c>
    </row>
    <row r="5" spans="1:4" x14ac:dyDescent="0.2">
      <c r="A5" s="2">
        <v>2</v>
      </c>
      <c r="B5" s="2">
        <v>1284</v>
      </c>
      <c r="C5" s="2">
        <v>29</v>
      </c>
      <c r="D5" s="2">
        <v>87804</v>
      </c>
    </row>
    <row r="6" spans="1:4" x14ac:dyDescent="0.2">
      <c r="A6" s="2">
        <v>3</v>
      </c>
      <c r="B6" s="2">
        <v>1490</v>
      </c>
      <c r="C6" s="2">
        <v>27</v>
      </c>
      <c r="D6" s="2">
        <v>93681</v>
      </c>
    </row>
    <row r="7" spans="1:4" x14ac:dyDescent="0.2">
      <c r="A7" s="2">
        <v>4</v>
      </c>
      <c r="B7" s="2">
        <v>1355</v>
      </c>
      <c r="C7" s="2">
        <v>22</v>
      </c>
      <c r="D7" s="2">
        <v>82262</v>
      </c>
    </row>
    <row r="8" spans="1:4" x14ac:dyDescent="0.2">
      <c r="A8" s="2">
        <v>5</v>
      </c>
      <c r="B8" s="2">
        <v>1500</v>
      </c>
      <c r="C8" s="2">
        <v>35</v>
      </c>
      <c r="D8" s="2">
        <v>106968</v>
      </c>
    </row>
    <row r="9" spans="1:4" x14ac:dyDescent="0.2">
      <c r="A9" s="2">
        <v>6</v>
      </c>
      <c r="B9" s="2">
        <v>1777</v>
      </c>
      <c r="C9" s="2">
        <v>30</v>
      </c>
      <c r="D9" s="2">
        <v>107925</v>
      </c>
    </row>
    <row r="10" spans="1:4" x14ac:dyDescent="0.2">
      <c r="A10" s="2">
        <v>7</v>
      </c>
      <c r="B10" s="2">
        <v>1716</v>
      </c>
      <c r="C10" s="2">
        <v>41</v>
      </c>
      <c r="D10" s="2">
        <v>117287</v>
      </c>
    </row>
    <row r="11" spans="1:4" x14ac:dyDescent="0.2">
      <c r="A11" s="2">
        <v>8</v>
      </c>
      <c r="B11" s="2">
        <v>1045</v>
      </c>
      <c r="C11" s="2">
        <v>29</v>
      </c>
      <c r="D11" s="2">
        <v>76868</v>
      </c>
    </row>
    <row r="12" spans="1:4" x14ac:dyDescent="0.2">
      <c r="A12" s="2">
        <v>9</v>
      </c>
      <c r="B12" s="2">
        <v>1364</v>
      </c>
      <c r="C12" s="2">
        <v>47</v>
      </c>
      <c r="D12" s="2">
        <v>106001</v>
      </c>
    </row>
    <row r="13" spans="1:4" x14ac:dyDescent="0.2">
      <c r="A13" s="2">
        <v>10</v>
      </c>
      <c r="B13" s="2">
        <v>1516</v>
      </c>
      <c r="C13" s="2">
        <v>21</v>
      </c>
      <c r="D13" s="2">
        <v>88738</v>
      </c>
    </row>
    <row r="14" spans="1:4" x14ac:dyDescent="0.2">
      <c r="A14" s="2">
        <v>11</v>
      </c>
      <c r="B14" s="2">
        <v>1623</v>
      </c>
      <c r="C14" s="2">
        <v>37</v>
      </c>
      <c r="D14" s="2">
        <v>105830</v>
      </c>
    </row>
    <row r="15" spans="1:4" x14ac:dyDescent="0.2">
      <c r="A15" s="2">
        <v>12</v>
      </c>
      <c r="B15" s="2">
        <v>1376</v>
      </c>
      <c r="C15" s="2">
        <v>37</v>
      </c>
      <c r="D15" s="2">
        <v>88730</v>
      </c>
    </row>
    <row r="16" spans="1:4" x14ac:dyDescent="0.2">
      <c r="A16" s="2">
        <v>13</v>
      </c>
      <c r="B16" s="2">
        <v>1327</v>
      </c>
      <c r="C16" s="2">
        <v>49</v>
      </c>
      <c r="D16" s="2">
        <v>100624</v>
      </c>
    </row>
    <row r="17" spans="1:4" x14ac:dyDescent="0.2">
      <c r="A17" s="2">
        <v>14</v>
      </c>
      <c r="B17" s="2">
        <v>1178</v>
      </c>
      <c r="C17" s="2">
        <v>50</v>
      </c>
      <c r="D17" s="2">
        <v>98857</v>
      </c>
    </row>
    <row r="18" spans="1:4" x14ac:dyDescent="0.2">
      <c r="A18" s="2">
        <v>15</v>
      </c>
      <c r="B18" s="2">
        <v>1491</v>
      </c>
      <c r="C18" s="2">
        <v>37</v>
      </c>
      <c r="D18" s="2">
        <v>102622</v>
      </c>
    </row>
    <row r="19" spans="1:4" x14ac:dyDescent="0.2">
      <c r="A19" s="2">
        <v>16</v>
      </c>
      <c r="B19" s="2">
        <v>1667</v>
      </c>
      <c r="C19" s="2">
        <v>41</v>
      </c>
      <c r="D19" s="2">
        <v>108059</v>
      </c>
    </row>
    <row r="20" spans="1:4" x14ac:dyDescent="0.2">
      <c r="A20" s="2">
        <v>17</v>
      </c>
      <c r="B20" s="2">
        <v>1769</v>
      </c>
      <c r="C20" s="2">
        <v>34</v>
      </c>
      <c r="D20" s="2">
        <v>110054</v>
      </c>
    </row>
    <row r="21" spans="1:4" x14ac:dyDescent="0.2">
      <c r="A21" s="2">
        <v>18</v>
      </c>
      <c r="B21" s="2">
        <v>1104</v>
      </c>
      <c r="C21" s="2">
        <v>44</v>
      </c>
      <c r="D21" s="2">
        <v>91892</v>
      </c>
    </row>
    <row r="22" spans="1:4" x14ac:dyDescent="0.2">
      <c r="A22" s="2">
        <v>19</v>
      </c>
      <c r="B22" s="2">
        <v>1196</v>
      </c>
      <c r="C22" s="2">
        <v>46</v>
      </c>
      <c r="D22" s="2">
        <v>98693</v>
      </c>
    </row>
    <row r="23" spans="1:4" x14ac:dyDescent="0.2">
      <c r="A23" s="2">
        <v>20</v>
      </c>
      <c r="B23" s="2">
        <v>1794</v>
      </c>
      <c r="C23" s="2">
        <v>29</v>
      </c>
      <c r="D23" s="2">
        <v>110530</v>
      </c>
    </row>
    <row r="24" spans="1:4" x14ac:dyDescent="0.2">
      <c r="A24" s="2">
        <v>21</v>
      </c>
      <c r="B24" s="2">
        <v>1379</v>
      </c>
      <c r="C24" s="2">
        <v>38</v>
      </c>
      <c r="D24" s="2">
        <v>96883</v>
      </c>
    </row>
    <row r="25" spans="1:4" x14ac:dyDescent="0.2">
      <c r="A25" s="2">
        <v>22</v>
      </c>
      <c r="B25" s="2">
        <v>1448</v>
      </c>
      <c r="C25" s="2">
        <v>32</v>
      </c>
      <c r="D25" s="2">
        <v>99593</v>
      </c>
    </row>
    <row r="26" spans="1:4" x14ac:dyDescent="0.2">
      <c r="A26" s="2">
        <v>23</v>
      </c>
      <c r="B26" s="2">
        <v>1505</v>
      </c>
      <c r="C26" s="2">
        <v>32</v>
      </c>
      <c r="D26" s="2">
        <v>94564</v>
      </c>
    </row>
    <row r="27" spans="1:4" x14ac:dyDescent="0.2">
      <c r="A27" s="2">
        <v>24</v>
      </c>
      <c r="B27" s="2">
        <v>1420</v>
      </c>
      <c r="C27" s="2">
        <v>42</v>
      </c>
      <c r="D27" s="2">
        <v>105752</v>
      </c>
    </row>
    <row r="28" spans="1:4" x14ac:dyDescent="0.2">
      <c r="A28" s="2">
        <v>25</v>
      </c>
      <c r="B28" s="2">
        <v>1475</v>
      </c>
      <c r="C28" s="2">
        <v>27</v>
      </c>
      <c r="D28" s="2">
        <v>93224</v>
      </c>
    </row>
    <row r="29" spans="1:4" x14ac:dyDescent="0.2">
      <c r="A29" s="2">
        <v>26</v>
      </c>
      <c r="B29" s="2">
        <v>1118</v>
      </c>
      <c r="C29" s="2">
        <v>34</v>
      </c>
      <c r="D29" s="2">
        <v>75398</v>
      </c>
    </row>
    <row r="30" spans="1:4" x14ac:dyDescent="0.2">
      <c r="A30" s="2">
        <v>27</v>
      </c>
      <c r="B30" s="2">
        <v>1433</v>
      </c>
      <c r="C30" s="2">
        <v>58</v>
      </c>
      <c r="D30" s="2">
        <v>113137</v>
      </c>
    </row>
    <row r="31" spans="1:4" x14ac:dyDescent="0.2">
      <c r="A31" s="2">
        <v>28</v>
      </c>
      <c r="B31" s="2">
        <v>1589</v>
      </c>
      <c r="C31" s="2">
        <v>26</v>
      </c>
      <c r="D31" s="2">
        <v>85609</v>
      </c>
    </row>
    <row r="32" spans="1:4" x14ac:dyDescent="0.2">
      <c r="A32" s="2">
        <v>29</v>
      </c>
      <c r="B32" s="2">
        <v>1585</v>
      </c>
      <c r="C32" s="2">
        <v>32</v>
      </c>
      <c r="D32" s="2">
        <v>98498</v>
      </c>
    </row>
    <row r="33" spans="1:4" x14ac:dyDescent="0.2">
      <c r="A33" s="2">
        <v>30</v>
      </c>
      <c r="B33" s="2">
        <v>1493</v>
      </c>
      <c r="C33" s="2">
        <v>33</v>
      </c>
      <c r="D33" s="2">
        <v>101803</v>
      </c>
    </row>
    <row r="34" spans="1:4" x14ac:dyDescent="0.2">
      <c r="A34" s="2">
        <v>31</v>
      </c>
      <c r="B34" s="2">
        <v>1124</v>
      </c>
      <c r="C34" s="2">
        <v>36</v>
      </c>
      <c r="D34" s="2">
        <v>88371</v>
      </c>
    </row>
    <row r="35" spans="1:4" x14ac:dyDescent="0.2">
      <c r="A35" s="2">
        <v>32</v>
      </c>
      <c r="B35" s="2">
        <v>1536</v>
      </c>
      <c r="C35" s="2">
        <v>28</v>
      </c>
      <c r="D35" s="2">
        <v>102419</v>
      </c>
    </row>
    <row r="36" spans="1:4" x14ac:dyDescent="0.2">
      <c r="A36" s="2">
        <v>33</v>
      </c>
      <c r="B36" s="2">
        <v>1678</v>
      </c>
      <c r="C36" s="2">
        <v>41</v>
      </c>
      <c r="D36" s="2">
        <v>117183</v>
      </c>
    </row>
    <row r="37" spans="1:4" x14ac:dyDescent="0.2">
      <c r="A37" s="2">
        <v>34</v>
      </c>
      <c r="B37" s="2">
        <v>1723</v>
      </c>
      <c r="C37" s="2">
        <v>35</v>
      </c>
      <c r="D37" s="2">
        <v>107828</v>
      </c>
    </row>
    <row r="38" spans="1:4" x14ac:dyDescent="0.2">
      <c r="A38" s="2">
        <v>35</v>
      </c>
      <c r="B38" s="2">
        <v>1413</v>
      </c>
      <c r="C38" s="2">
        <v>30</v>
      </c>
      <c r="D38" s="2">
        <v>88032</v>
      </c>
    </row>
    <row r="39" spans="1:4" x14ac:dyDescent="0.2">
      <c r="A39" s="2">
        <v>36</v>
      </c>
      <c r="B39" s="2">
        <v>1390</v>
      </c>
      <c r="C39" s="2">
        <v>54</v>
      </c>
      <c r="D39" s="2">
        <v>117943</v>
      </c>
    </row>
  </sheetData>
  <phoneticPr fontId="0" type="noConversion"/>
  <printOptions headings="1" gridLines="1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93263-7F0D-4174-9870-0F7230B99C13}">
  <dimension ref="A1:AR37"/>
  <sheetViews>
    <sheetView zoomScale="130" zoomScaleNormal="130" workbookViewId="0">
      <selection activeCell="B1" sqref="B1:E37"/>
    </sheetView>
  </sheetViews>
  <sheetFormatPr defaultRowHeight="12.75" x14ac:dyDescent="0.2"/>
  <cols>
    <col min="2" max="2" width="11.7109375" customWidth="1"/>
    <col min="3" max="3" width="10.85546875" customWidth="1"/>
    <col min="4" max="4" width="11.85546875" customWidth="1"/>
    <col min="5" max="5" width="11.7109375" customWidth="1"/>
    <col min="8" max="8" width="14" customWidth="1"/>
    <col min="9" max="9" width="9.28515625" bestFit="1" customWidth="1"/>
    <col min="10" max="10" width="13.42578125" bestFit="1" customWidth="1"/>
    <col min="11" max="11" width="11.7109375" bestFit="1" customWidth="1"/>
    <col min="12" max="12" width="16" bestFit="1" customWidth="1"/>
  </cols>
  <sheetData>
    <row r="1" spans="1:44" ht="15.75" x14ac:dyDescent="0.25">
      <c r="A1" s="4" t="s">
        <v>1</v>
      </c>
      <c r="B1" s="4" t="s">
        <v>5</v>
      </c>
      <c r="C1" s="4" t="s">
        <v>2</v>
      </c>
      <c r="D1" s="4" t="s">
        <v>3</v>
      </c>
      <c r="E1" s="4" t="s">
        <v>4</v>
      </c>
      <c r="G1" s="29" t="s">
        <v>24</v>
      </c>
      <c r="H1" s="4" t="s">
        <v>5</v>
      </c>
      <c r="I1" s="2">
        <v>1</v>
      </c>
      <c r="J1" s="2">
        <v>1</v>
      </c>
      <c r="K1" s="2">
        <v>1</v>
      </c>
      <c r="L1" s="2">
        <v>1</v>
      </c>
      <c r="M1" s="2">
        <v>1</v>
      </c>
      <c r="N1" s="2">
        <v>1</v>
      </c>
      <c r="O1" s="2">
        <v>1</v>
      </c>
      <c r="P1" s="2">
        <v>1</v>
      </c>
      <c r="Q1" s="2">
        <v>1</v>
      </c>
      <c r="R1" s="2">
        <v>1</v>
      </c>
      <c r="S1" s="2">
        <v>1</v>
      </c>
      <c r="T1" s="2">
        <v>1</v>
      </c>
      <c r="U1" s="2">
        <v>1</v>
      </c>
      <c r="V1" s="2">
        <v>1</v>
      </c>
      <c r="W1" s="2">
        <v>1</v>
      </c>
      <c r="X1" s="2">
        <v>1</v>
      </c>
      <c r="Y1" s="2">
        <v>1</v>
      </c>
      <c r="Z1" s="2">
        <v>1</v>
      </c>
      <c r="AA1" s="2">
        <v>1</v>
      </c>
      <c r="AB1" s="2">
        <v>1</v>
      </c>
      <c r="AC1" s="2">
        <v>1</v>
      </c>
      <c r="AD1" s="2">
        <v>1</v>
      </c>
      <c r="AE1" s="2">
        <v>1</v>
      </c>
      <c r="AF1" s="2">
        <v>1</v>
      </c>
      <c r="AG1" s="2">
        <v>1</v>
      </c>
      <c r="AH1" s="2">
        <v>1</v>
      </c>
      <c r="AI1" s="2">
        <v>1</v>
      </c>
      <c r="AJ1" s="2">
        <v>1</v>
      </c>
      <c r="AK1" s="2">
        <v>1</v>
      </c>
      <c r="AL1" s="2">
        <v>1</v>
      </c>
      <c r="AM1" s="2">
        <v>1</v>
      </c>
      <c r="AN1" s="2">
        <v>1</v>
      </c>
      <c r="AO1" s="2">
        <v>1</v>
      </c>
      <c r="AP1" s="2">
        <v>1</v>
      </c>
      <c r="AQ1" s="2">
        <v>1</v>
      </c>
      <c r="AR1" s="2">
        <v>1</v>
      </c>
    </row>
    <row r="2" spans="1:44" ht="15.75" x14ac:dyDescent="0.25">
      <c r="A2" s="2">
        <v>1</v>
      </c>
      <c r="B2" s="2">
        <v>1</v>
      </c>
      <c r="C2" s="2">
        <v>1539</v>
      </c>
      <c r="D2" s="2">
        <v>31</v>
      </c>
      <c r="E2" s="2">
        <v>99798</v>
      </c>
      <c r="G2" s="30"/>
      <c r="H2" s="4" t="s">
        <v>2</v>
      </c>
      <c r="I2" s="2">
        <v>1539</v>
      </c>
      <c r="J2" s="2">
        <v>1284</v>
      </c>
      <c r="K2" s="2">
        <v>1490</v>
      </c>
      <c r="L2" s="2">
        <v>1355</v>
      </c>
      <c r="M2" s="2">
        <v>1500</v>
      </c>
      <c r="N2" s="2">
        <v>1777</v>
      </c>
      <c r="O2" s="2">
        <v>1716</v>
      </c>
      <c r="P2" s="2">
        <v>1045</v>
      </c>
      <c r="Q2" s="2">
        <v>1364</v>
      </c>
      <c r="R2" s="2">
        <v>1516</v>
      </c>
      <c r="S2" s="2">
        <v>1623</v>
      </c>
      <c r="T2" s="2">
        <v>1376</v>
      </c>
      <c r="U2" s="2">
        <v>1327</v>
      </c>
      <c r="V2" s="2">
        <v>1178</v>
      </c>
      <c r="W2" s="2">
        <v>1491</v>
      </c>
      <c r="X2" s="2">
        <v>1667</v>
      </c>
      <c r="Y2" s="2">
        <v>1769</v>
      </c>
      <c r="Z2" s="2">
        <v>1104</v>
      </c>
      <c r="AA2" s="2">
        <v>1196</v>
      </c>
      <c r="AB2" s="2">
        <v>1794</v>
      </c>
      <c r="AC2" s="2">
        <v>1379</v>
      </c>
      <c r="AD2" s="2">
        <v>1448</v>
      </c>
      <c r="AE2" s="2">
        <v>1505</v>
      </c>
      <c r="AF2" s="2">
        <v>1420</v>
      </c>
      <c r="AG2" s="2">
        <v>1475</v>
      </c>
      <c r="AH2" s="2">
        <v>1118</v>
      </c>
      <c r="AI2" s="2">
        <v>1433</v>
      </c>
      <c r="AJ2" s="2">
        <v>1589</v>
      </c>
      <c r="AK2" s="2">
        <v>1585</v>
      </c>
      <c r="AL2" s="2">
        <v>1493</v>
      </c>
      <c r="AM2" s="2">
        <v>1124</v>
      </c>
      <c r="AN2" s="2">
        <v>1536</v>
      </c>
      <c r="AO2" s="2">
        <v>1678</v>
      </c>
      <c r="AP2" s="2">
        <v>1723</v>
      </c>
      <c r="AQ2" s="2">
        <v>1413</v>
      </c>
      <c r="AR2" s="2">
        <v>1390</v>
      </c>
    </row>
    <row r="3" spans="1:44" ht="15.75" x14ac:dyDescent="0.25">
      <c r="A3" s="2">
        <v>2</v>
      </c>
      <c r="B3" s="2">
        <v>1</v>
      </c>
      <c r="C3" s="2">
        <v>1284</v>
      </c>
      <c r="D3" s="2">
        <v>29</v>
      </c>
      <c r="E3" s="2">
        <v>87804</v>
      </c>
      <c r="G3" s="30"/>
      <c r="H3" s="4" t="s">
        <v>3</v>
      </c>
      <c r="I3" s="2">
        <v>31</v>
      </c>
      <c r="J3" s="2">
        <v>29</v>
      </c>
      <c r="K3" s="2">
        <v>27</v>
      </c>
      <c r="L3" s="2">
        <v>22</v>
      </c>
      <c r="M3" s="2">
        <v>35</v>
      </c>
      <c r="N3" s="2">
        <v>30</v>
      </c>
      <c r="O3" s="2">
        <v>41</v>
      </c>
      <c r="P3" s="2">
        <v>29</v>
      </c>
      <c r="Q3" s="2">
        <v>47</v>
      </c>
      <c r="R3" s="2">
        <v>21</v>
      </c>
      <c r="S3" s="2">
        <v>37</v>
      </c>
      <c r="T3" s="2">
        <v>37</v>
      </c>
      <c r="U3" s="2">
        <v>49</v>
      </c>
      <c r="V3" s="2">
        <v>50</v>
      </c>
      <c r="W3" s="2">
        <v>37</v>
      </c>
      <c r="X3" s="2">
        <v>41</v>
      </c>
      <c r="Y3" s="2">
        <v>34</v>
      </c>
      <c r="Z3" s="2">
        <v>44</v>
      </c>
      <c r="AA3" s="2">
        <v>46</v>
      </c>
      <c r="AB3" s="2">
        <v>29</v>
      </c>
      <c r="AC3" s="2">
        <v>38</v>
      </c>
      <c r="AD3" s="2">
        <v>32</v>
      </c>
      <c r="AE3" s="2">
        <v>32</v>
      </c>
      <c r="AF3" s="2">
        <v>42</v>
      </c>
      <c r="AG3" s="2">
        <v>27</v>
      </c>
      <c r="AH3" s="2">
        <v>34</v>
      </c>
      <c r="AI3" s="2">
        <v>58</v>
      </c>
      <c r="AJ3" s="2">
        <v>26</v>
      </c>
      <c r="AK3" s="2">
        <v>32</v>
      </c>
      <c r="AL3" s="2">
        <v>33</v>
      </c>
      <c r="AM3" s="2">
        <v>36</v>
      </c>
      <c r="AN3" s="2">
        <v>28</v>
      </c>
      <c r="AO3" s="2">
        <v>41</v>
      </c>
      <c r="AP3" s="2">
        <v>35</v>
      </c>
      <c r="AQ3" s="2">
        <v>30</v>
      </c>
      <c r="AR3" s="2">
        <v>54</v>
      </c>
    </row>
    <row r="4" spans="1:44" ht="15.75" x14ac:dyDescent="0.25">
      <c r="A4" s="2">
        <v>3</v>
      </c>
      <c r="B4" s="2">
        <v>1</v>
      </c>
      <c r="C4" s="2">
        <v>1490</v>
      </c>
      <c r="D4" s="2">
        <v>27</v>
      </c>
      <c r="E4" s="2">
        <v>93681</v>
      </c>
      <c r="G4" s="30"/>
      <c r="H4" s="4" t="s">
        <v>4</v>
      </c>
      <c r="I4" s="2">
        <v>99798</v>
      </c>
      <c r="J4" s="2">
        <v>87804</v>
      </c>
      <c r="K4" s="2">
        <v>93681</v>
      </c>
      <c r="L4" s="2">
        <v>82262</v>
      </c>
      <c r="M4" s="2">
        <v>106968</v>
      </c>
      <c r="N4" s="2">
        <v>107925</v>
      </c>
      <c r="O4" s="2">
        <v>117287</v>
      </c>
      <c r="P4" s="2">
        <v>76868</v>
      </c>
      <c r="Q4" s="2">
        <v>106001</v>
      </c>
      <c r="R4" s="2">
        <v>88738</v>
      </c>
      <c r="S4" s="2">
        <v>105830</v>
      </c>
      <c r="T4" s="2">
        <v>88730</v>
      </c>
      <c r="U4" s="2">
        <v>100624</v>
      </c>
      <c r="V4" s="2">
        <v>98857</v>
      </c>
      <c r="W4" s="2">
        <v>102622</v>
      </c>
      <c r="X4" s="2">
        <v>108059</v>
      </c>
      <c r="Y4" s="2">
        <v>110054</v>
      </c>
      <c r="Z4" s="2">
        <v>91892</v>
      </c>
      <c r="AA4" s="2">
        <v>98693</v>
      </c>
      <c r="AB4" s="2">
        <v>110530</v>
      </c>
      <c r="AC4" s="2">
        <v>96883</v>
      </c>
      <c r="AD4" s="2">
        <v>99593</v>
      </c>
      <c r="AE4" s="2">
        <v>94564</v>
      </c>
      <c r="AF4" s="2">
        <v>105752</v>
      </c>
      <c r="AG4" s="2">
        <v>93224</v>
      </c>
      <c r="AH4" s="2">
        <v>75398</v>
      </c>
      <c r="AI4" s="2">
        <v>113137</v>
      </c>
      <c r="AJ4" s="2">
        <v>85609</v>
      </c>
      <c r="AK4" s="2">
        <v>98498</v>
      </c>
      <c r="AL4" s="2">
        <v>101803</v>
      </c>
      <c r="AM4" s="2">
        <v>88371</v>
      </c>
      <c r="AN4" s="2">
        <v>102419</v>
      </c>
      <c r="AO4" s="2">
        <v>117183</v>
      </c>
      <c r="AP4" s="2">
        <v>107828</v>
      </c>
      <c r="AQ4" s="2">
        <v>88032</v>
      </c>
      <c r="AR4" s="2">
        <v>117943</v>
      </c>
    </row>
    <row r="5" spans="1:44" ht="15" x14ac:dyDescent="0.2">
      <c r="A5" s="2">
        <v>4</v>
      </c>
      <c r="B5" s="2">
        <v>1</v>
      </c>
      <c r="C5" s="2">
        <v>1355</v>
      </c>
      <c r="D5" s="2">
        <v>22</v>
      </c>
      <c r="E5" s="2">
        <v>82262</v>
      </c>
    </row>
    <row r="6" spans="1:44" ht="15" x14ac:dyDescent="0.2">
      <c r="A6" s="2">
        <v>5</v>
      </c>
      <c r="B6" s="2">
        <v>1</v>
      </c>
      <c r="C6" s="2">
        <v>1500</v>
      </c>
      <c r="D6" s="2">
        <v>35</v>
      </c>
      <c r="E6" s="2">
        <v>106968</v>
      </c>
    </row>
    <row r="7" spans="1:44" ht="15" x14ac:dyDescent="0.2">
      <c r="A7" s="2">
        <v>6</v>
      </c>
      <c r="B7" s="2">
        <v>1</v>
      </c>
      <c r="C7" s="2">
        <v>1777</v>
      </c>
      <c r="D7" s="2">
        <v>30</v>
      </c>
      <c r="E7" s="2">
        <v>107925</v>
      </c>
    </row>
    <row r="8" spans="1:44" ht="15" x14ac:dyDescent="0.2">
      <c r="A8" s="2">
        <v>7</v>
      </c>
      <c r="B8" s="2">
        <v>1</v>
      </c>
      <c r="C8" s="2">
        <v>1716</v>
      </c>
      <c r="D8" s="2">
        <v>41</v>
      </c>
      <c r="E8" s="2">
        <v>117287</v>
      </c>
    </row>
    <row r="9" spans="1:44" ht="15" x14ac:dyDescent="0.2">
      <c r="A9" s="2">
        <v>8</v>
      </c>
      <c r="B9" s="2">
        <v>1</v>
      </c>
      <c r="C9" s="2">
        <v>1045</v>
      </c>
      <c r="D9" s="2">
        <v>29</v>
      </c>
      <c r="E9" s="2">
        <v>76868</v>
      </c>
      <c r="H9" s="31" t="s">
        <v>25</v>
      </c>
      <c r="I9" s="11">
        <f t="array" ref="I9:L12">MMULT(I1:AR4,B2:E37)</f>
        <v>36</v>
      </c>
      <c r="J9" s="11">
        <v>52420</v>
      </c>
      <c r="K9" s="11">
        <v>1294</v>
      </c>
      <c r="L9" s="11">
        <v>3569460</v>
      </c>
    </row>
    <row r="10" spans="1:44" ht="15" x14ac:dyDescent="0.2">
      <c r="A10" s="2">
        <v>9</v>
      </c>
      <c r="B10" s="2">
        <v>1</v>
      </c>
      <c r="C10" s="2">
        <v>1364</v>
      </c>
      <c r="D10" s="2">
        <v>47</v>
      </c>
      <c r="E10" s="2">
        <v>106001</v>
      </c>
      <c r="H10" s="32"/>
      <c r="I10" s="11">
        <v>52420</v>
      </c>
      <c r="J10" s="11">
        <v>77712338</v>
      </c>
      <c r="K10" s="11">
        <v>1870381</v>
      </c>
      <c r="L10" s="11">
        <v>5245523336</v>
      </c>
    </row>
    <row r="11" spans="1:44" ht="15" x14ac:dyDescent="0.2">
      <c r="A11" s="2">
        <v>10</v>
      </c>
      <c r="B11" s="2">
        <v>1</v>
      </c>
      <c r="C11" s="2">
        <v>1516</v>
      </c>
      <c r="D11" s="2">
        <v>21</v>
      </c>
      <c r="E11" s="2">
        <v>88738</v>
      </c>
      <c r="H11" s="32"/>
      <c r="I11" s="11">
        <v>1294</v>
      </c>
      <c r="J11" s="11">
        <v>1870381</v>
      </c>
      <c r="K11" s="11">
        <v>49146</v>
      </c>
      <c r="L11" s="11">
        <v>130027640</v>
      </c>
    </row>
    <row r="12" spans="1:44" ht="15" x14ac:dyDescent="0.2">
      <c r="A12" s="2">
        <v>11</v>
      </c>
      <c r="B12" s="2">
        <v>1</v>
      </c>
      <c r="C12" s="2">
        <v>1623</v>
      </c>
      <c r="D12" s="2">
        <v>37</v>
      </c>
      <c r="E12" s="2">
        <v>105830</v>
      </c>
      <c r="H12" s="32"/>
      <c r="I12" s="11">
        <v>3569460</v>
      </c>
      <c r="J12" s="11">
        <v>5245523336</v>
      </c>
      <c r="K12" s="11">
        <v>130027640</v>
      </c>
      <c r="L12" s="11">
        <v>358089094960</v>
      </c>
    </row>
    <row r="13" spans="1:44" ht="15" x14ac:dyDescent="0.2">
      <c r="A13" s="2">
        <v>12</v>
      </c>
      <c r="B13" s="2">
        <v>1</v>
      </c>
      <c r="C13" s="2">
        <v>1376</v>
      </c>
      <c r="D13" s="2">
        <v>37</v>
      </c>
      <c r="E13" s="2">
        <v>88730</v>
      </c>
    </row>
    <row r="14" spans="1:44" ht="15" x14ac:dyDescent="0.2">
      <c r="A14" s="2">
        <v>13</v>
      </c>
      <c r="B14" s="2">
        <v>1</v>
      </c>
      <c r="C14" s="2">
        <v>1327</v>
      </c>
      <c r="D14" s="2">
        <v>49</v>
      </c>
      <c r="E14" s="2">
        <v>100624</v>
      </c>
    </row>
    <row r="15" spans="1:44" ht="15" x14ac:dyDescent="0.2">
      <c r="A15" s="2">
        <v>14</v>
      </c>
      <c r="B15" s="2">
        <v>1</v>
      </c>
      <c r="C15" s="2">
        <v>1178</v>
      </c>
      <c r="D15" s="2">
        <v>50</v>
      </c>
      <c r="E15" s="2">
        <v>98857</v>
      </c>
    </row>
    <row r="16" spans="1:44" ht="15" x14ac:dyDescent="0.2">
      <c r="A16" s="2">
        <v>15</v>
      </c>
      <c r="B16" s="2">
        <v>1</v>
      </c>
      <c r="C16" s="2">
        <v>1491</v>
      </c>
      <c r="D16" s="2">
        <v>37</v>
      </c>
      <c r="E16" s="2">
        <v>102622</v>
      </c>
    </row>
    <row r="17" spans="1:5" ht="15" x14ac:dyDescent="0.2">
      <c r="A17" s="2">
        <v>16</v>
      </c>
      <c r="B17" s="2">
        <v>1</v>
      </c>
      <c r="C17" s="2">
        <v>1667</v>
      </c>
      <c r="D17" s="2">
        <v>41</v>
      </c>
      <c r="E17" s="2">
        <v>108059</v>
      </c>
    </row>
    <row r="18" spans="1:5" ht="15" x14ac:dyDescent="0.2">
      <c r="A18" s="2">
        <v>17</v>
      </c>
      <c r="B18" s="2">
        <v>1</v>
      </c>
      <c r="C18" s="2">
        <v>1769</v>
      </c>
      <c r="D18" s="2">
        <v>34</v>
      </c>
      <c r="E18" s="2">
        <v>110054</v>
      </c>
    </row>
    <row r="19" spans="1:5" ht="15" x14ac:dyDescent="0.2">
      <c r="A19" s="2">
        <v>18</v>
      </c>
      <c r="B19" s="2">
        <v>1</v>
      </c>
      <c r="C19" s="2">
        <v>1104</v>
      </c>
      <c r="D19" s="2">
        <v>44</v>
      </c>
      <c r="E19" s="2">
        <v>91892</v>
      </c>
    </row>
    <row r="20" spans="1:5" ht="15" x14ac:dyDescent="0.2">
      <c r="A20" s="2">
        <v>19</v>
      </c>
      <c r="B20" s="2">
        <v>1</v>
      </c>
      <c r="C20" s="2">
        <v>1196</v>
      </c>
      <c r="D20" s="2">
        <v>46</v>
      </c>
      <c r="E20" s="2">
        <v>98693</v>
      </c>
    </row>
    <row r="21" spans="1:5" ht="15" x14ac:dyDescent="0.2">
      <c r="A21" s="2">
        <v>20</v>
      </c>
      <c r="B21" s="2">
        <v>1</v>
      </c>
      <c r="C21" s="2">
        <v>1794</v>
      </c>
      <c r="D21" s="2">
        <v>29</v>
      </c>
      <c r="E21" s="2">
        <v>110530</v>
      </c>
    </row>
    <row r="22" spans="1:5" ht="15" x14ac:dyDescent="0.2">
      <c r="A22" s="2">
        <v>21</v>
      </c>
      <c r="B22" s="2">
        <v>1</v>
      </c>
      <c r="C22" s="2">
        <v>1379</v>
      </c>
      <c r="D22" s="2">
        <v>38</v>
      </c>
      <c r="E22" s="2">
        <v>96883</v>
      </c>
    </row>
    <row r="23" spans="1:5" ht="15" x14ac:dyDescent="0.2">
      <c r="A23" s="2">
        <v>22</v>
      </c>
      <c r="B23" s="2">
        <v>1</v>
      </c>
      <c r="C23" s="2">
        <v>1448</v>
      </c>
      <c r="D23" s="2">
        <v>32</v>
      </c>
      <c r="E23" s="2">
        <v>99593</v>
      </c>
    </row>
    <row r="24" spans="1:5" ht="15" x14ac:dyDescent="0.2">
      <c r="A24" s="2">
        <v>23</v>
      </c>
      <c r="B24" s="2">
        <v>1</v>
      </c>
      <c r="C24" s="2">
        <v>1505</v>
      </c>
      <c r="D24" s="2">
        <v>32</v>
      </c>
      <c r="E24" s="2">
        <v>94564</v>
      </c>
    </row>
    <row r="25" spans="1:5" ht="15" x14ac:dyDescent="0.2">
      <c r="A25" s="2">
        <v>24</v>
      </c>
      <c r="B25" s="2">
        <v>1</v>
      </c>
      <c r="C25" s="2">
        <v>1420</v>
      </c>
      <c r="D25" s="2">
        <v>42</v>
      </c>
      <c r="E25" s="2">
        <v>105752</v>
      </c>
    </row>
    <row r="26" spans="1:5" ht="15" x14ac:dyDescent="0.2">
      <c r="A26" s="2">
        <v>25</v>
      </c>
      <c r="B26" s="2">
        <v>1</v>
      </c>
      <c r="C26" s="2">
        <v>1475</v>
      </c>
      <c r="D26" s="2">
        <v>27</v>
      </c>
      <c r="E26" s="2">
        <v>93224</v>
      </c>
    </row>
    <row r="27" spans="1:5" ht="15" x14ac:dyDescent="0.2">
      <c r="A27" s="2">
        <v>26</v>
      </c>
      <c r="B27" s="2">
        <v>1</v>
      </c>
      <c r="C27" s="2">
        <v>1118</v>
      </c>
      <c r="D27" s="2">
        <v>34</v>
      </c>
      <c r="E27" s="2">
        <v>75398</v>
      </c>
    </row>
    <row r="28" spans="1:5" ht="15" x14ac:dyDescent="0.2">
      <c r="A28" s="2">
        <v>27</v>
      </c>
      <c r="B28" s="2">
        <v>1</v>
      </c>
      <c r="C28" s="2">
        <v>1433</v>
      </c>
      <c r="D28" s="2">
        <v>58</v>
      </c>
      <c r="E28" s="2">
        <v>113137</v>
      </c>
    </row>
    <row r="29" spans="1:5" ht="15" x14ac:dyDescent="0.2">
      <c r="A29" s="2">
        <v>28</v>
      </c>
      <c r="B29" s="2">
        <v>1</v>
      </c>
      <c r="C29" s="2">
        <v>1589</v>
      </c>
      <c r="D29" s="2">
        <v>26</v>
      </c>
      <c r="E29" s="2">
        <v>85609</v>
      </c>
    </row>
    <row r="30" spans="1:5" ht="15" x14ac:dyDescent="0.2">
      <c r="A30" s="2">
        <v>29</v>
      </c>
      <c r="B30" s="2">
        <v>1</v>
      </c>
      <c r="C30" s="2">
        <v>1585</v>
      </c>
      <c r="D30" s="2">
        <v>32</v>
      </c>
      <c r="E30" s="2">
        <v>98498</v>
      </c>
    </row>
    <row r="31" spans="1:5" ht="15" x14ac:dyDescent="0.2">
      <c r="A31" s="2">
        <v>30</v>
      </c>
      <c r="B31" s="2">
        <v>1</v>
      </c>
      <c r="C31" s="2">
        <v>1493</v>
      </c>
      <c r="D31" s="2">
        <v>33</v>
      </c>
      <c r="E31" s="2">
        <v>101803</v>
      </c>
    </row>
    <row r="32" spans="1:5" ht="15" x14ac:dyDescent="0.2">
      <c r="A32" s="2">
        <v>31</v>
      </c>
      <c r="B32" s="2">
        <v>1</v>
      </c>
      <c r="C32" s="2">
        <v>1124</v>
      </c>
      <c r="D32" s="2">
        <v>36</v>
      </c>
      <c r="E32" s="2">
        <v>88371</v>
      </c>
    </row>
    <row r="33" spans="1:5" ht="15" x14ac:dyDescent="0.2">
      <c r="A33" s="2">
        <v>32</v>
      </c>
      <c r="B33" s="2">
        <v>1</v>
      </c>
      <c r="C33" s="2">
        <v>1536</v>
      </c>
      <c r="D33" s="2">
        <v>28</v>
      </c>
      <c r="E33" s="2">
        <v>102419</v>
      </c>
    </row>
    <row r="34" spans="1:5" ht="15" x14ac:dyDescent="0.2">
      <c r="A34" s="2">
        <v>33</v>
      </c>
      <c r="B34" s="2">
        <v>1</v>
      </c>
      <c r="C34" s="2">
        <v>1678</v>
      </c>
      <c r="D34" s="2">
        <v>41</v>
      </c>
      <c r="E34" s="2">
        <v>117183</v>
      </c>
    </row>
    <row r="35" spans="1:5" ht="15" x14ac:dyDescent="0.2">
      <c r="A35" s="2">
        <v>34</v>
      </c>
      <c r="B35" s="2">
        <v>1</v>
      </c>
      <c r="C35" s="2">
        <v>1723</v>
      </c>
      <c r="D35" s="2">
        <v>35</v>
      </c>
      <c r="E35" s="2">
        <v>107828</v>
      </c>
    </row>
    <row r="36" spans="1:5" ht="15" x14ac:dyDescent="0.2">
      <c r="A36" s="2">
        <v>35</v>
      </c>
      <c r="B36" s="2">
        <v>1</v>
      </c>
      <c r="C36" s="2">
        <v>1413</v>
      </c>
      <c r="D36" s="2">
        <v>30</v>
      </c>
      <c r="E36" s="2">
        <v>88032</v>
      </c>
    </row>
    <row r="37" spans="1:5" ht="15" x14ac:dyDescent="0.2">
      <c r="A37" s="2">
        <v>36</v>
      </c>
      <c r="B37" s="2">
        <v>1</v>
      </c>
      <c r="C37" s="2">
        <v>1390</v>
      </c>
      <c r="D37" s="2">
        <v>54</v>
      </c>
      <c r="E37" s="2">
        <v>117943</v>
      </c>
    </row>
  </sheetData>
  <mergeCells count="2">
    <mergeCell ref="G1:G4"/>
    <mergeCell ref="H9:H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92C7-69F7-4CB5-A77E-1B5B2C05E650}">
  <dimension ref="A1:Q33"/>
  <sheetViews>
    <sheetView tabSelected="1" topLeftCell="A7" zoomScale="90" zoomScaleNormal="90" workbookViewId="0">
      <selection activeCell="L1" sqref="L1:N1"/>
    </sheetView>
  </sheetViews>
  <sheetFormatPr defaultRowHeight="12.75" x14ac:dyDescent="0.2"/>
  <cols>
    <col min="1" max="1" width="5" customWidth="1"/>
    <col min="2" max="2" width="11.7109375" customWidth="1"/>
    <col min="3" max="3" width="19.5703125" customWidth="1"/>
    <col min="4" max="4" width="25.85546875" customWidth="1"/>
    <col min="5" max="5" width="25.42578125" customWidth="1"/>
    <col min="6" max="6" width="3.85546875" customWidth="1"/>
    <col min="7" max="7" width="3.42578125" customWidth="1"/>
    <col min="8" max="8" width="12.42578125" customWidth="1"/>
    <col min="9" max="9" width="7.5703125" customWidth="1"/>
    <col min="10" max="10" width="30.85546875" customWidth="1"/>
    <col min="11" max="11" width="24.42578125" customWidth="1"/>
    <col min="12" max="12" width="13" customWidth="1"/>
    <col min="13" max="13" width="10.85546875" customWidth="1"/>
    <col min="14" max="14" width="12.5703125" customWidth="1"/>
  </cols>
  <sheetData>
    <row r="1" spans="1:17" ht="23.25" x14ac:dyDescent="0.35">
      <c r="A1" s="33"/>
      <c r="B1" s="33"/>
      <c r="C1" s="6"/>
      <c r="D1" s="7"/>
      <c r="E1" s="7"/>
      <c r="F1" s="5"/>
      <c r="G1" s="5"/>
      <c r="H1" s="34" t="s">
        <v>6</v>
      </c>
      <c r="I1" s="34"/>
      <c r="J1" s="9"/>
      <c r="K1" s="26" t="s">
        <v>32</v>
      </c>
      <c r="L1" s="5"/>
      <c r="M1" s="5"/>
      <c r="N1" s="5"/>
      <c r="O1" s="5"/>
      <c r="P1" s="5"/>
      <c r="Q1" s="5"/>
    </row>
    <row r="2" spans="1:17" ht="23.25" x14ac:dyDescent="0.35">
      <c r="A2" s="33"/>
      <c r="B2" s="33"/>
      <c r="C2" s="7"/>
      <c r="D2" s="6"/>
      <c r="E2" s="8"/>
      <c r="F2" s="5"/>
      <c r="G2" s="5"/>
      <c r="H2" s="34"/>
      <c r="I2" s="34"/>
      <c r="J2" s="9"/>
      <c r="K2" s="5"/>
      <c r="L2" s="5"/>
      <c r="M2" s="5"/>
      <c r="N2" s="5"/>
      <c r="O2" s="5"/>
      <c r="P2" s="5"/>
      <c r="Q2" s="5"/>
    </row>
    <row r="3" spans="1:17" ht="23.25" x14ac:dyDescent="0.35">
      <c r="A3" s="33"/>
      <c r="B3" s="33"/>
      <c r="C3" s="7"/>
      <c r="D3" s="8"/>
      <c r="E3" s="6"/>
      <c r="F3" s="5"/>
      <c r="G3" s="5"/>
      <c r="H3" s="34"/>
      <c r="I3" s="34"/>
      <c r="J3" s="9"/>
      <c r="K3" s="5"/>
      <c r="L3" s="5"/>
      <c r="M3" s="5"/>
      <c r="N3" s="5"/>
      <c r="O3" s="5"/>
      <c r="P3" s="5"/>
      <c r="Q3" s="5"/>
    </row>
    <row r="4" spans="1:17" ht="23.25" x14ac:dyDescent="0.35">
      <c r="A4" s="5"/>
      <c r="B4" s="5"/>
      <c r="C4" s="5"/>
      <c r="D4" s="5"/>
      <c r="E4" s="5"/>
      <c r="F4" s="5"/>
      <c r="G4" s="5"/>
      <c r="N4" s="5"/>
      <c r="O4" s="5"/>
      <c r="P4" s="5"/>
      <c r="Q4" s="5"/>
    </row>
    <row r="5" spans="1:17" ht="23.25" x14ac:dyDescent="0.35">
      <c r="A5" s="33"/>
      <c r="B5" s="33"/>
      <c r="C5" s="15"/>
      <c r="D5" s="15"/>
      <c r="E5" s="15"/>
      <c r="F5" s="5"/>
      <c r="G5" s="5"/>
      <c r="H5" s="33" t="s">
        <v>9</v>
      </c>
      <c r="I5" s="33"/>
      <c r="J5" s="14"/>
      <c r="K5" s="5"/>
      <c r="L5" s="5"/>
      <c r="M5" s="5"/>
      <c r="N5" s="5"/>
      <c r="O5" s="5"/>
      <c r="P5" s="5"/>
      <c r="Q5" s="5"/>
    </row>
    <row r="6" spans="1:17" ht="23.25" x14ac:dyDescent="0.35">
      <c r="A6" s="33"/>
      <c r="B6" s="33"/>
      <c r="C6" s="15"/>
      <c r="D6" s="15"/>
      <c r="E6" s="15"/>
      <c r="F6" s="5"/>
      <c r="G6" s="5"/>
      <c r="K6" s="5"/>
      <c r="L6" s="5"/>
      <c r="M6" s="5"/>
      <c r="N6" s="5"/>
      <c r="O6" s="5"/>
      <c r="P6" s="5"/>
      <c r="Q6" s="5"/>
    </row>
    <row r="7" spans="1:17" ht="23.25" x14ac:dyDescent="0.35">
      <c r="A7" s="33"/>
      <c r="B7" s="33"/>
      <c r="C7" s="15"/>
      <c r="D7" s="15"/>
      <c r="E7" s="15"/>
      <c r="F7" s="5"/>
      <c r="G7" s="5"/>
      <c r="H7" s="34" t="s">
        <v>7</v>
      </c>
      <c r="I7" s="34"/>
      <c r="J7" s="16"/>
      <c r="K7" s="5" t="s">
        <v>5</v>
      </c>
      <c r="L7" s="5"/>
      <c r="M7" s="5"/>
      <c r="N7" s="5"/>
      <c r="O7" s="5"/>
      <c r="P7" s="5"/>
      <c r="Q7" s="5"/>
    </row>
    <row r="8" spans="1:17" ht="23.25" x14ac:dyDescent="0.35">
      <c r="A8" s="5"/>
      <c r="B8" s="5"/>
      <c r="C8" s="5"/>
      <c r="D8" s="5"/>
      <c r="E8" s="5"/>
      <c r="F8" s="5"/>
      <c r="G8" s="5"/>
      <c r="H8" s="34"/>
      <c r="I8" s="34"/>
      <c r="J8" s="16"/>
      <c r="K8" s="5" t="s">
        <v>30</v>
      </c>
      <c r="L8" s="5"/>
      <c r="M8" s="5"/>
      <c r="N8" s="5"/>
      <c r="O8" s="5"/>
      <c r="P8" s="5"/>
      <c r="Q8" s="5"/>
    </row>
    <row r="9" spans="1:17" ht="23.25" x14ac:dyDescent="0.35">
      <c r="A9" s="5"/>
      <c r="B9" s="5"/>
      <c r="C9" s="5"/>
      <c r="D9" s="5"/>
      <c r="E9" s="5"/>
      <c r="F9" s="5"/>
      <c r="G9" s="5"/>
      <c r="H9" s="34"/>
      <c r="I9" s="34"/>
      <c r="J9" s="16"/>
      <c r="K9" s="5" t="s">
        <v>31</v>
      </c>
      <c r="L9" s="5"/>
      <c r="M9" s="5"/>
      <c r="N9" s="5"/>
      <c r="O9" s="5"/>
      <c r="P9" s="5"/>
      <c r="Q9" s="5"/>
    </row>
    <row r="10" spans="1:17" ht="23.25" x14ac:dyDescent="0.35">
      <c r="A10" s="33" t="s">
        <v>8</v>
      </c>
      <c r="B10" s="33"/>
      <c r="C10" s="5"/>
      <c r="E10" s="17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27.75" x14ac:dyDescent="0.35">
      <c r="A11" s="5"/>
      <c r="B11" s="5"/>
      <c r="C11" s="5"/>
      <c r="D11" s="5"/>
      <c r="E11" s="5"/>
      <c r="F11" s="5"/>
      <c r="G11" s="5"/>
      <c r="H11" s="10" t="s">
        <v>12</v>
      </c>
      <c r="I11" s="10"/>
      <c r="J11" s="18"/>
      <c r="K11" s="5"/>
      <c r="L11" s="5"/>
      <c r="M11" s="5"/>
      <c r="N11" s="5"/>
      <c r="O11" s="5"/>
      <c r="P11" s="5"/>
      <c r="Q11" s="5"/>
    </row>
    <row r="12" spans="1:17" ht="23.25" x14ac:dyDescent="0.35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ht="23.25" x14ac:dyDescent="0.35">
      <c r="A13" s="33" t="s">
        <v>10</v>
      </c>
      <c r="B13" s="33"/>
      <c r="C13" s="5"/>
      <c r="D13" s="5"/>
      <c r="E13" s="17"/>
      <c r="F13" s="5"/>
      <c r="G13" s="5"/>
      <c r="H13" s="10" t="s">
        <v>14</v>
      </c>
      <c r="I13" s="10"/>
      <c r="J13" s="10"/>
      <c r="K13" s="10"/>
      <c r="L13" s="10"/>
      <c r="M13" s="10"/>
      <c r="N13" s="5"/>
      <c r="O13" s="5"/>
      <c r="P13" s="5"/>
      <c r="Q13" s="5"/>
    </row>
    <row r="14" spans="1:17" ht="23.25" x14ac:dyDescent="0.35">
      <c r="A14" s="5"/>
      <c r="B14" s="5"/>
      <c r="C14" s="5"/>
      <c r="D14" s="5"/>
      <c r="E14" s="5"/>
      <c r="F14" s="5"/>
      <c r="G14" s="5"/>
      <c r="H14" s="5" t="s">
        <v>18</v>
      </c>
      <c r="I14" s="5" t="s">
        <v>19</v>
      </c>
      <c r="J14" s="5" t="s">
        <v>20</v>
      </c>
      <c r="K14" s="5" t="s">
        <v>21</v>
      </c>
      <c r="L14" s="5" t="s">
        <v>22</v>
      </c>
      <c r="M14" s="5" t="s">
        <v>23</v>
      </c>
      <c r="N14" s="5"/>
      <c r="O14" s="5"/>
      <c r="P14" s="5"/>
      <c r="Q14" s="5"/>
    </row>
    <row r="15" spans="1:17" ht="23.25" x14ac:dyDescent="0.35">
      <c r="A15" s="33" t="s">
        <v>11</v>
      </c>
      <c r="B15" s="33"/>
      <c r="C15" s="5"/>
      <c r="D15" s="5"/>
      <c r="E15" s="17"/>
      <c r="F15" s="5"/>
      <c r="G15" s="5"/>
      <c r="H15" s="5" t="s">
        <v>15</v>
      </c>
      <c r="I15" s="10">
        <v>2</v>
      </c>
      <c r="J15" s="17"/>
      <c r="K15" s="22"/>
      <c r="L15" s="24"/>
      <c r="M15" s="25"/>
      <c r="N15" s="5"/>
      <c r="O15" s="5"/>
      <c r="P15" s="5"/>
      <c r="Q15" s="5"/>
    </row>
    <row r="16" spans="1:17" ht="23.25" x14ac:dyDescent="0.35">
      <c r="A16" s="5"/>
      <c r="B16" s="5"/>
      <c r="C16" s="5"/>
      <c r="D16" s="5"/>
      <c r="E16" s="5"/>
      <c r="F16" s="5"/>
      <c r="G16" s="5"/>
      <c r="H16" s="5" t="s">
        <v>16</v>
      </c>
      <c r="I16" s="10">
        <f>I17-I15</f>
        <v>33</v>
      </c>
      <c r="J16" s="17"/>
      <c r="K16" s="22"/>
      <c r="L16" s="23"/>
      <c r="M16" s="23"/>
      <c r="N16" s="5"/>
      <c r="O16" s="5"/>
      <c r="P16" s="5"/>
      <c r="Q16" s="5"/>
    </row>
    <row r="17" spans="1:17" ht="23.25" x14ac:dyDescent="0.35">
      <c r="A17" s="33" t="s">
        <v>13</v>
      </c>
      <c r="B17" s="33"/>
      <c r="C17" s="19"/>
      <c r="D17" s="5"/>
      <c r="E17" s="5"/>
      <c r="F17" s="5"/>
      <c r="G17" s="5"/>
      <c r="H17" s="5" t="s">
        <v>17</v>
      </c>
      <c r="I17" s="10">
        <v>35</v>
      </c>
      <c r="J17" s="17"/>
      <c r="K17" s="23"/>
      <c r="L17" s="23"/>
      <c r="M17" s="23"/>
      <c r="N17" s="5"/>
      <c r="O17" s="5"/>
      <c r="P17" s="5"/>
      <c r="Q17" s="5"/>
    </row>
    <row r="18" spans="1:17" ht="23.25" x14ac:dyDescent="0.35">
      <c r="A18" s="5"/>
      <c r="B18" s="5"/>
      <c r="C18" s="5"/>
      <c r="D18" s="5"/>
      <c r="E18" s="5"/>
      <c r="F18" s="5"/>
      <c r="G18" s="5"/>
      <c r="H18" s="5"/>
      <c r="I18" s="5"/>
      <c r="J18" s="12" t="s">
        <v>27</v>
      </c>
      <c r="K18" s="5" t="s">
        <v>28</v>
      </c>
      <c r="L18" s="5" t="s">
        <v>29</v>
      </c>
      <c r="M18" s="5"/>
      <c r="N18" s="5"/>
      <c r="O18" s="5"/>
      <c r="P18" s="5"/>
      <c r="Q18" s="5"/>
    </row>
    <row r="19" spans="1:17" ht="23.25" x14ac:dyDescent="0.35">
      <c r="A19" s="5"/>
      <c r="B19" s="5"/>
      <c r="C19" s="27"/>
      <c r="D19" s="15"/>
      <c r="E19" s="15"/>
      <c r="F19" s="5"/>
      <c r="G19" s="5"/>
      <c r="I19" s="13"/>
      <c r="J19" s="20"/>
      <c r="K19" s="21"/>
      <c r="L19" s="22"/>
      <c r="M19" s="5"/>
      <c r="N19" s="5"/>
      <c r="O19" s="5"/>
      <c r="P19" s="5"/>
      <c r="Q19" s="5"/>
    </row>
    <row r="20" spans="1:17" ht="23.25" x14ac:dyDescent="0.35">
      <c r="A20" s="33" t="s">
        <v>26</v>
      </c>
      <c r="B20" s="33"/>
      <c r="C20" s="15"/>
      <c r="D20" s="27"/>
      <c r="E20" s="15"/>
      <c r="F20" s="5"/>
      <c r="G20" s="5"/>
      <c r="H20" s="13"/>
      <c r="I20" s="13"/>
      <c r="J20" s="20"/>
      <c r="K20" s="21"/>
      <c r="L20" s="22"/>
      <c r="M20" s="5"/>
      <c r="N20" s="5"/>
      <c r="O20" s="5"/>
      <c r="P20" s="5"/>
      <c r="Q20" s="5"/>
    </row>
    <row r="21" spans="1:17" ht="23.25" x14ac:dyDescent="0.35">
      <c r="A21" s="5"/>
      <c r="B21" s="5"/>
      <c r="C21" s="15"/>
      <c r="D21" s="15"/>
      <c r="E21" s="27"/>
      <c r="F21" s="5"/>
      <c r="G21" s="5"/>
      <c r="H21" s="13"/>
      <c r="I21" s="13"/>
      <c r="J21" s="20"/>
      <c r="K21" s="21"/>
      <c r="L21" s="22"/>
      <c r="M21" s="5"/>
      <c r="N21" s="5"/>
      <c r="O21" s="5"/>
      <c r="P21" s="5"/>
      <c r="Q21" s="5"/>
    </row>
    <row r="22" spans="1:17" ht="23.25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ht="23.25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ht="23.25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23.25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ht="23.25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ht="23.25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23.25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ht="23.25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23.25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23.25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23.25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ht="23.25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</sheetData>
  <mergeCells count="10">
    <mergeCell ref="A1:B3"/>
    <mergeCell ref="A5:B7"/>
    <mergeCell ref="H1:I3"/>
    <mergeCell ref="A20:B20"/>
    <mergeCell ref="A10:B10"/>
    <mergeCell ref="H5:I5"/>
    <mergeCell ref="A13:B13"/>
    <mergeCell ref="A15:B15"/>
    <mergeCell ref="A17:B17"/>
    <mergeCell ref="H7:I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53B3-60FD-4A6C-B2D4-864F452BFE20}">
  <dimension ref="A1:AV47"/>
  <sheetViews>
    <sheetView topLeftCell="A34" workbookViewId="0">
      <selection activeCell="C47" sqref="C47"/>
    </sheetView>
  </sheetViews>
  <sheetFormatPr defaultRowHeight="12.75" x14ac:dyDescent="0.2"/>
  <cols>
    <col min="1" max="4" width="13.5703125" customWidth="1"/>
    <col min="9" max="9" width="25.42578125" customWidth="1"/>
    <col min="10" max="11" width="23.5703125" customWidth="1"/>
    <col min="12" max="12" width="23" customWidth="1"/>
  </cols>
  <sheetData>
    <row r="1" spans="1:48" ht="15.75" x14ac:dyDescent="0.25">
      <c r="A1" s="4" t="s">
        <v>5</v>
      </c>
      <c r="B1" s="4" t="s">
        <v>2</v>
      </c>
      <c r="C1" s="4" t="s">
        <v>3</v>
      </c>
      <c r="D1" s="4" t="s">
        <v>4</v>
      </c>
      <c r="I1" t="s">
        <v>33</v>
      </c>
      <c r="J1" t="s">
        <v>34</v>
      </c>
      <c r="L1" s="4" t="s">
        <v>5</v>
      </c>
      <c r="M1" s="2">
        <v>1</v>
      </c>
      <c r="N1" s="2">
        <v>1</v>
      </c>
      <c r="O1" s="2">
        <v>1</v>
      </c>
      <c r="P1" s="2">
        <v>1</v>
      </c>
      <c r="Q1" s="2">
        <v>1</v>
      </c>
      <c r="R1" s="2">
        <v>1</v>
      </c>
      <c r="S1" s="2">
        <v>1</v>
      </c>
      <c r="T1" s="2">
        <v>1</v>
      </c>
      <c r="U1" s="2">
        <v>1</v>
      </c>
      <c r="V1" s="2">
        <v>1</v>
      </c>
      <c r="W1" s="2">
        <v>1</v>
      </c>
      <c r="X1" s="2">
        <v>1</v>
      </c>
      <c r="Y1" s="2">
        <v>1</v>
      </c>
      <c r="Z1" s="2">
        <v>1</v>
      </c>
      <c r="AA1" s="2">
        <v>1</v>
      </c>
      <c r="AB1" s="2">
        <v>1</v>
      </c>
      <c r="AC1" s="2">
        <v>1</v>
      </c>
      <c r="AD1" s="2">
        <v>1</v>
      </c>
      <c r="AE1" s="2">
        <v>1</v>
      </c>
      <c r="AF1" s="2">
        <v>1</v>
      </c>
      <c r="AG1" s="2">
        <v>1</v>
      </c>
      <c r="AH1" s="2">
        <v>1</v>
      </c>
      <c r="AI1" s="2">
        <v>1</v>
      </c>
      <c r="AJ1" s="2">
        <v>1</v>
      </c>
      <c r="AK1" s="2">
        <v>1</v>
      </c>
      <c r="AL1" s="2">
        <v>1</v>
      </c>
      <c r="AM1" s="2">
        <v>1</v>
      </c>
      <c r="AN1" s="2">
        <v>1</v>
      </c>
      <c r="AO1" s="2">
        <v>1</v>
      </c>
      <c r="AP1" s="2">
        <v>1</v>
      </c>
      <c r="AQ1" s="2">
        <v>1</v>
      </c>
      <c r="AR1" s="2">
        <v>1</v>
      </c>
      <c r="AS1" s="2">
        <v>1</v>
      </c>
      <c r="AT1" s="2">
        <v>1</v>
      </c>
      <c r="AU1" s="2">
        <v>1</v>
      </c>
      <c r="AV1" s="2">
        <v>1</v>
      </c>
    </row>
    <row r="2" spans="1:48" ht="15.75" x14ac:dyDescent="0.25">
      <c r="A2" s="2">
        <v>1</v>
      </c>
      <c r="B2" s="2">
        <v>1539</v>
      </c>
      <c r="C2" s="2">
        <v>31</v>
      </c>
      <c r="D2" s="2">
        <v>99798</v>
      </c>
      <c r="F2">
        <f t="array" ref="F2:H37">MMULT(A2:C37,A40:C42)</f>
        <v>2.3793179197364234E-2</v>
      </c>
      <c r="G2">
        <v>4.3446508424431777E-5</v>
      </c>
      <c r="H2">
        <v>-1.649165705342983E-3</v>
      </c>
      <c r="I2" s="28">
        <f t="array" ref="I2:I37">MMULT(M6:AV41,D2:D37)</f>
        <v>98391.35059121775</v>
      </c>
      <c r="J2">
        <f t="array" ref="J2:J37">MMULT(A2:C37,C45:C47)</f>
        <v>98391.350591218026</v>
      </c>
      <c r="K2">
        <f>I2-J2</f>
        <v>-2.7648638933897018E-10</v>
      </c>
      <c r="L2" s="4" t="s">
        <v>2</v>
      </c>
      <c r="M2" s="2">
        <v>1539</v>
      </c>
      <c r="N2" s="2">
        <v>1284</v>
      </c>
      <c r="O2" s="2">
        <v>1490</v>
      </c>
      <c r="P2" s="2">
        <v>1355</v>
      </c>
      <c r="Q2" s="2">
        <v>1500</v>
      </c>
      <c r="R2" s="2">
        <v>1777</v>
      </c>
      <c r="S2" s="2">
        <v>1716</v>
      </c>
      <c r="T2" s="2">
        <v>1045</v>
      </c>
      <c r="U2" s="2">
        <v>1364</v>
      </c>
      <c r="V2" s="2">
        <v>1516</v>
      </c>
      <c r="W2" s="2">
        <v>1623</v>
      </c>
      <c r="X2" s="2">
        <v>1376</v>
      </c>
      <c r="Y2" s="2">
        <v>1327</v>
      </c>
      <c r="Z2" s="2">
        <v>1178</v>
      </c>
      <c r="AA2" s="2">
        <v>1491</v>
      </c>
      <c r="AB2" s="2">
        <v>1667</v>
      </c>
      <c r="AC2" s="2">
        <v>1769</v>
      </c>
      <c r="AD2" s="2">
        <v>1104</v>
      </c>
      <c r="AE2" s="2">
        <v>1196</v>
      </c>
      <c r="AF2" s="2">
        <v>1794</v>
      </c>
      <c r="AG2" s="2">
        <v>1379</v>
      </c>
      <c r="AH2" s="2">
        <v>1448</v>
      </c>
      <c r="AI2" s="2">
        <v>1505</v>
      </c>
      <c r="AJ2" s="2">
        <v>1420</v>
      </c>
      <c r="AK2" s="2">
        <v>1475</v>
      </c>
      <c r="AL2" s="2">
        <v>1118</v>
      </c>
      <c r="AM2" s="2">
        <v>1433</v>
      </c>
      <c r="AN2" s="2">
        <v>1589</v>
      </c>
      <c r="AO2" s="2">
        <v>1585</v>
      </c>
      <c r="AP2" s="2">
        <v>1493</v>
      </c>
      <c r="AQ2" s="2">
        <v>1124</v>
      </c>
      <c r="AR2" s="2">
        <v>1536</v>
      </c>
      <c r="AS2" s="2">
        <v>1678</v>
      </c>
      <c r="AT2" s="2">
        <v>1723</v>
      </c>
      <c r="AU2" s="2">
        <v>1413</v>
      </c>
      <c r="AV2" s="2">
        <v>1390</v>
      </c>
    </row>
    <row r="3" spans="1:48" ht="15.75" x14ac:dyDescent="0.25">
      <c r="A3" s="2">
        <v>1</v>
      </c>
      <c r="B3" s="2">
        <v>1284</v>
      </c>
      <c r="C3" s="2">
        <v>29</v>
      </c>
      <c r="D3" s="2">
        <v>87804</v>
      </c>
      <c r="F3">
        <v>0.38433717512520249</v>
      </c>
      <c r="G3">
        <v>-1.5916133779175675E-4</v>
      </c>
      <c r="H3">
        <v>-3.4721027646548632E-3</v>
      </c>
      <c r="I3" s="28">
        <v>85522.333221219247</v>
      </c>
      <c r="J3">
        <v>85522.333221218898</v>
      </c>
      <c r="K3">
        <f t="shared" ref="K3:K37" si="0">I3-J3</f>
        <v>3.4924596548080444E-10</v>
      </c>
      <c r="L3" s="4" t="s">
        <v>3</v>
      </c>
      <c r="M3" s="2">
        <v>31</v>
      </c>
      <c r="N3" s="2">
        <v>29</v>
      </c>
      <c r="O3" s="2">
        <v>27</v>
      </c>
      <c r="P3" s="2">
        <v>22</v>
      </c>
      <c r="Q3" s="2">
        <v>35</v>
      </c>
      <c r="R3" s="2">
        <v>30</v>
      </c>
      <c r="S3" s="2">
        <v>41</v>
      </c>
      <c r="T3" s="2">
        <v>29</v>
      </c>
      <c r="U3" s="2">
        <v>47</v>
      </c>
      <c r="V3" s="2">
        <v>21</v>
      </c>
      <c r="W3" s="2">
        <v>37</v>
      </c>
      <c r="X3" s="2">
        <v>37</v>
      </c>
      <c r="Y3" s="2">
        <v>49</v>
      </c>
      <c r="Z3" s="2">
        <v>50</v>
      </c>
      <c r="AA3" s="2">
        <v>37</v>
      </c>
      <c r="AB3" s="2">
        <v>41</v>
      </c>
      <c r="AC3" s="2">
        <v>34</v>
      </c>
      <c r="AD3" s="2">
        <v>44</v>
      </c>
      <c r="AE3" s="2">
        <v>46</v>
      </c>
      <c r="AF3" s="2">
        <v>29</v>
      </c>
      <c r="AG3" s="2">
        <v>38</v>
      </c>
      <c r="AH3" s="2">
        <v>32</v>
      </c>
      <c r="AI3" s="2">
        <v>32</v>
      </c>
      <c r="AJ3" s="2">
        <v>42</v>
      </c>
      <c r="AK3" s="2">
        <v>27</v>
      </c>
      <c r="AL3" s="2">
        <v>34</v>
      </c>
      <c r="AM3" s="2">
        <v>58</v>
      </c>
      <c r="AN3" s="2">
        <v>26</v>
      </c>
      <c r="AO3" s="2">
        <v>32</v>
      </c>
      <c r="AP3" s="2">
        <v>33</v>
      </c>
      <c r="AQ3" s="2">
        <v>36</v>
      </c>
      <c r="AR3" s="2">
        <v>28</v>
      </c>
      <c r="AS3" s="2">
        <v>41</v>
      </c>
      <c r="AT3" s="2">
        <v>35</v>
      </c>
      <c r="AU3" s="2">
        <v>30</v>
      </c>
      <c r="AV3" s="2">
        <v>54</v>
      </c>
    </row>
    <row r="4" spans="1:48" ht="15.75" x14ac:dyDescent="0.25">
      <c r="A4" s="2">
        <v>1</v>
      </c>
      <c r="B4" s="2">
        <v>1490</v>
      </c>
      <c r="C4" s="2">
        <v>27</v>
      </c>
      <c r="D4" s="2">
        <v>93681</v>
      </c>
      <c r="F4">
        <v>0.16624150412816752</v>
      </c>
      <c r="G4">
        <v>-9.9706102233016456E-6</v>
      </c>
      <c r="H4">
        <v>-3.4482494286773996E-3</v>
      </c>
      <c r="I4" s="28">
        <v>92723.5953825693</v>
      </c>
      <c r="J4">
        <v>92723.595382569765</v>
      </c>
      <c r="K4">
        <f t="shared" si="0"/>
        <v>-4.6566128730773926E-10</v>
      </c>
      <c r="L4" s="4" t="s">
        <v>4</v>
      </c>
      <c r="M4" s="2">
        <v>99798</v>
      </c>
      <c r="N4" s="2">
        <v>87804</v>
      </c>
      <c r="O4" s="2">
        <v>93681</v>
      </c>
      <c r="P4" s="2">
        <v>82262</v>
      </c>
      <c r="Q4" s="2">
        <v>106968</v>
      </c>
      <c r="R4" s="2">
        <v>107925</v>
      </c>
      <c r="S4" s="2">
        <v>117287</v>
      </c>
      <c r="T4" s="2">
        <v>76868</v>
      </c>
      <c r="U4" s="2">
        <v>106001</v>
      </c>
      <c r="V4" s="2">
        <v>88738</v>
      </c>
      <c r="W4" s="2">
        <v>105830</v>
      </c>
      <c r="X4" s="2">
        <v>88730</v>
      </c>
      <c r="Y4" s="2">
        <v>100624</v>
      </c>
      <c r="Z4" s="2">
        <v>98857</v>
      </c>
      <c r="AA4" s="2">
        <v>102622</v>
      </c>
      <c r="AB4" s="2">
        <v>108059</v>
      </c>
      <c r="AC4" s="2">
        <v>110054</v>
      </c>
      <c r="AD4" s="2">
        <v>91892</v>
      </c>
      <c r="AE4" s="2">
        <v>98693</v>
      </c>
      <c r="AF4" s="2">
        <v>110530</v>
      </c>
      <c r="AG4" s="2">
        <v>96883</v>
      </c>
      <c r="AH4" s="2">
        <v>99593</v>
      </c>
      <c r="AI4" s="2">
        <v>94564</v>
      </c>
      <c r="AJ4" s="2">
        <v>105752</v>
      </c>
      <c r="AK4" s="2">
        <v>93224</v>
      </c>
      <c r="AL4" s="2">
        <v>75398</v>
      </c>
      <c r="AM4" s="2">
        <v>113137</v>
      </c>
      <c r="AN4" s="2">
        <v>85609</v>
      </c>
      <c r="AO4" s="2">
        <v>98498</v>
      </c>
      <c r="AP4" s="2">
        <v>101803</v>
      </c>
      <c r="AQ4" s="2">
        <v>88371</v>
      </c>
      <c r="AR4" s="2">
        <v>102419</v>
      </c>
      <c r="AS4" s="2">
        <v>117183</v>
      </c>
      <c r="AT4" s="2">
        <v>107828</v>
      </c>
      <c r="AU4" s="2">
        <v>88032</v>
      </c>
      <c r="AV4" s="2">
        <v>117943</v>
      </c>
    </row>
    <row r="5" spans="1:48" ht="15" x14ac:dyDescent="0.2">
      <c r="A5" s="2">
        <v>1</v>
      </c>
      <c r="B5" s="2">
        <v>1355</v>
      </c>
      <c r="C5" s="2">
        <v>22</v>
      </c>
      <c r="D5" s="2">
        <v>82262</v>
      </c>
      <c r="F5">
        <v>0.43687170516305862</v>
      </c>
      <c r="G5">
        <v>-1.3302214913300618E-4</v>
      </c>
      <c r="H5">
        <v>-5.9925504855625356E-3</v>
      </c>
      <c r="I5" s="28">
        <v>82428.092010724533</v>
      </c>
      <c r="J5">
        <v>82428.092010724591</v>
      </c>
      <c r="K5">
        <f t="shared" si="0"/>
        <v>0</v>
      </c>
    </row>
    <row r="6" spans="1:48" ht="15" x14ac:dyDescent="0.2">
      <c r="A6" s="2">
        <v>1</v>
      </c>
      <c r="B6" s="2">
        <v>1500</v>
      </c>
      <c r="C6" s="2">
        <v>35</v>
      </c>
      <c r="D6" s="2">
        <v>106968</v>
      </c>
      <c r="F6">
        <v>-8.1989837174112346E-3</v>
      </c>
      <c r="G6">
        <v>2.9709018627374297E-5</v>
      </c>
      <c r="H6">
        <v>-2.0261463880999996E-4</v>
      </c>
      <c r="I6" s="28">
        <v>100227.90276568315</v>
      </c>
      <c r="J6">
        <v>100227.90276568233</v>
      </c>
      <c r="K6">
        <f t="shared" si="0"/>
        <v>8.149072527885437E-10</v>
      </c>
      <c r="M6">
        <f t="array" ref="M6:AV41">MMULT(F2:H37,M1:AV3)</f>
        <v>3.9533218796932265E-2</v>
      </c>
      <c r="N6">
        <v>3.1752690559388133E-2</v>
      </c>
      <c r="O6">
        <v>4.4001002705507039E-2</v>
      </c>
      <c r="P6">
        <v>4.6381552594923665E-2</v>
      </c>
      <c r="Q6">
        <v>3.1242142147007504E-2</v>
      </c>
      <c r="R6">
        <v>5.152265350729001E-2</v>
      </c>
      <c r="S6">
        <v>3.0731593734626861E-2</v>
      </c>
      <c r="T6">
        <v>2.1368975045948937E-2</v>
      </c>
      <c r="U6">
        <v>5.543428537168979E-3</v>
      </c>
      <c r="V6">
        <v>5.5025606156600168E-2</v>
      </c>
      <c r="W6">
        <v>3.3287731272526641E-2</v>
      </c>
      <c r="X6">
        <v>2.2556443691691977E-2</v>
      </c>
      <c r="Y6">
        <v>6.3757631477903698E-4</v>
      </c>
      <c r="Z6">
        <v>-7.4851191458042976E-3</v>
      </c>
      <c r="AA6">
        <v>2.7552792160501646E-2</v>
      </c>
      <c r="AB6">
        <v>2.8602714821829703E-2</v>
      </c>
      <c r="AC6">
        <v>4.4578418618522624E-2</v>
      </c>
      <c r="AD6">
        <v>-8.0516653715433095E-4</v>
      </c>
      <c r="AE6">
        <v>-1.0641917279256841E-4</v>
      </c>
      <c r="AF6">
        <v>5.3910409855848329E-2</v>
      </c>
      <c r="AG6">
        <v>2.1037617511622309E-2</v>
      </c>
      <c r="AH6">
        <v>3.3930420824965987E-2</v>
      </c>
      <c r="AI6">
        <v>3.64068718051586E-2</v>
      </c>
      <c r="AJ6">
        <v>1.6222261535652066E-2</v>
      </c>
      <c r="AK6">
        <v>4.3349305079140574E-2</v>
      </c>
      <c r="AL6">
        <v>1.6294741634217548E-2</v>
      </c>
      <c r="AM6">
        <v>-9.5995851403180565E-3</v>
      </c>
      <c r="AN6">
        <v>4.9951372744868765E-2</v>
      </c>
      <c r="AO6">
        <v>3.9882592479113146E-2</v>
      </c>
      <c r="AP6">
        <v>3.4236347998722438E-2</v>
      </c>
      <c r="AQ6">
        <v>1.3257089274078163E-2</v>
      </c>
      <c r="AR6">
        <v>4.435037638768792E-2</v>
      </c>
      <c r="AS6">
        <v>2.9080626414498448E-2</v>
      </c>
      <c r="AT6">
        <v>4.093071352565579E-2</v>
      </c>
      <c r="AU6">
        <v>3.5708124440796844E-2</v>
      </c>
      <c r="AV6">
        <v>-4.8711221811966743E-3</v>
      </c>
    </row>
    <row r="7" spans="1:48" ht="15" x14ac:dyDescent="0.2">
      <c r="A7" s="2">
        <v>1</v>
      </c>
      <c r="B7" s="2">
        <v>1777</v>
      </c>
      <c r="C7" s="2">
        <v>30</v>
      </c>
      <c r="D7" s="2">
        <v>107925</v>
      </c>
      <c r="F7">
        <v>-0.25470445030301381</v>
      </c>
      <c r="G7">
        <v>2.2106314652737294E-4</v>
      </c>
      <c r="H7">
        <v>-1.0964218933975003E-3</v>
      </c>
      <c r="I7" s="28">
        <v>107869.39541751791</v>
      </c>
      <c r="J7">
        <v>107869.39541751656</v>
      </c>
      <c r="K7">
        <f t="shared" si="0"/>
        <v>1.3533281162381172E-9</v>
      </c>
      <c r="M7">
        <v>3.1752690559388078E-2</v>
      </c>
      <c r="N7">
        <v>7.9283037225595793E-2</v>
      </c>
      <c r="O7">
        <v>5.3440007169803613E-2</v>
      </c>
      <c r="P7">
        <v>9.2287301594965093E-2</v>
      </c>
      <c r="Q7">
        <v>2.4071571674647158E-2</v>
      </c>
      <c r="R7">
        <v>-2.6556050703951534E-3</v>
      </c>
      <c r="S7">
        <v>-3.1139893876301478E-2</v>
      </c>
      <c r="T7">
        <v>0.11732259695782565</v>
      </c>
      <c r="U7">
        <v>4.0522804384677258E-3</v>
      </c>
      <c r="V7">
        <v>7.0134428975147114E-2</v>
      </c>
      <c r="W7">
        <v>-2.4494784030486549E-3</v>
      </c>
      <c r="X7">
        <v>3.6863372031515268E-2</v>
      </c>
      <c r="Y7">
        <v>2.9970444074529645E-3</v>
      </c>
      <c r="Z7">
        <v>2.3239980973769891E-2</v>
      </c>
      <c r="AA7">
        <v>1.8559818185463234E-2</v>
      </c>
      <c r="AB7">
        <v>-2.3340988324505402E-2</v>
      </c>
      <c r="AC7">
        <v>-1.5270725426680551E-2</v>
      </c>
      <c r="AD7">
        <v>5.585053655828906E-2</v>
      </c>
      <c r="AE7">
        <v>3.4263487952137683E-2</v>
      </c>
      <c r="AF7">
        <v>-1.8892450482001777E-3</v>
      </c>
      <c r="AG7">
        <v>3.2913785253485123E-2</v>
      </c>
      <c r="AH7">
        <v>4.2764269533783095E-2</v>
      </c>
      <c r="AI7">
        <v>3.3692073279652957E-2</v>
      </c>
      <c r="AJ7">
        <v>1.2499759345403649E-2</v>
      </c>
      <c r="AK7">
        <v>5.582742723667998E-2</v>
      </c>
      <c r="AL7">
        <v>8.8343305475753073E-2</v>
      </c>
      <c r="AM7">
        <v>-4.5122982280367013E-2</v>
      </c>
      <c r="AN7">
        <v>4.1155137493074534E-2</v>
      </c>
      <c r="AO7">
        <v>2.0959166256312389E-2</v>
      </c>
      <c r="AP7">
        <v>3.2129906568499164E-2</v>
      </c>
      <c r="AQ7">
        <v>8.0444131919692824E-2</v>
      </c>
      <c r="AR7">
        <v>4.2646482866727953E-2</v>
      </c>
      <c r="AS7">
        <v>-2.5091763040214737E-2</v>
      </c>
      <c r="AT7">
        <v>-1.1421406652914606E-2</v>
      </c>
      <c r="AU7">
        <v>5.5279121885804292E-2</v>
      </c>
      <c r="AV7">
        <v>-2.4390633696701997E-2</v>
      </c>
    </row>
    <row r="8" spans="1:48" ht="15" x14ac:dyDescent="0.2">
      <c r="A8" s="2">
        <v>1</v>
      </c>
      <c r="B8" s="2">
        <v>1716</v>
      </c>
      <c r="C8" s="2">
        <v>41</v>
      </c>
      <c r="D8" s="2">
        <v>117287</v>
      </c>
      <c r="F8">
        <v>-0.40073514256002474</v>
      </c>
      <c r="G8">
        <v>2.1857937504650513E-4</v>
      </c>
      <c r="H8">
        <v>3.0668734870348616E-3</v>
      </c>
      <c r="I8" s="28">
        <v>114933.47231014649</v>
      </c>
      <c r="J8">
        <v>114933.47231014578</v>
      </c>
      <c r="K8">
        <f t="shared" si="0"/>
        <v>7.1304384618997574E-10</v>
      </c>
      <c r="M8">
        <v>4.40010027055069E-2</v>
      </c>
      <c r="N8">
        <v>5.3440007169803613E-2</v>
      </c>
      <c r="O8">
        <v>5.8282560321158264E-2</v>
      </c>
      <c r="P8">
        <v>7.6869839844691007E-2</v>
      </c>
      <c r="Q8">
        <v>3.0596858789506062E-2</v>
      </c>
      <c r="R8">
        <v>4.5076246901038508E-2</v>
      </c>
      <c r="S8">
        <v>7.7537104092085252E-3</v>
      </c>
      <c r="T8">
        <v>5.5822983013172719E-2</v>
      </c>
      <c r="U8">
        <v>-9.4261313642537148E-3</v>
      </c>
      <c r="V8">
        <v>7.8712821027416821E-2</v>
      </c>
      <c r="W8">
        <v>2.2473974874685165E-2</v>
      </c>
      <c r="X8">
        <v>2.4936715599840675E-2</v>
      </c>
      <c r="Y8">
        <v>-1.5953717643346327E-2</v>
      </c>
      <c r="Z8">
        <v>-1.7916346148751788E-2</v>
      </c>
      <c r="AA8">
        <v>2.3790095424160995E-2</v>
      </c>
      <c r="AB8">
        <v>8.2422703101502903E-3</v>
      </c>
      <c r="AC8">
        <v>3.1363014068115314E-2</v>
      </c>
      <c r="AD8">
        <v>3.510975579836928E-3</v>
      </c>
      <c r="AE8">
        <v>-4.3028194180616264E-3</v>
      </c>
      <c r="AF8">
        <v>4.8354995955919786E-2</v>
      </c>
      <c r="AG8">
        <v>2.1458554340493374E-2</v>
      </c>
      <c r="AH8">
        <v>4.1460078807149942E-2</v>
      </c>
      <c r="AI8">
        <v>4.0891754024421745E-2</v>
      </c>
      <c r="AJ8">
        <v>7.2567616066283869E-3</v>
      </c>
      <c r="AK8">
        <v>5.8432119474507813E-2</v>
      </c>
      <c r="AL8">
        <v>3.7853881323484689E-2</v>
      </c>
      <c r="AM8">
        <v>-4.8044847185112927E-2</v>
      </c>
      <c r="AN8">
        <v>6.0743719337728819E-2</v>
      </c>
      <c r="AO8">
        <v>4.0094105206557623E-2</v>
      </c>
      <c r="AP8">
        <v>3.7563151918423979E-2</v>
      </c>
      <c r="AQ8">
        <v>3.0897558804790087E-2</v>
      </c>
      <c r="AR8">
        <v>5.4375662822209014E-2</v>
      </c>
      <c r="AS8">
        <v>8.1325935976939712E-3</v>
      </c>
      <c r="AT8">
        <v>2.8373412709709792E-2</v>
      </c>
      <c r="AU8">
        <v>4.8705549022320299E-2</v>
      </c>
      <c r="AV8">
        <v>-3.3823113230801338E-2</v>
      </c>
    </row>
    <row r="9" spans="1:48" ht="15" x14ac:dyDescent="0.2">
      <c r="A9" s="2">
        <v>1</v>
      </c>
      <c r="B9" s="2">
        <v>1045</v>
      </c>
      <c r="C9" s="2">
        <v>29</v>
      </c>
      <c r="D9" s="2">
        <v>76868</v>
      </c>
      <c r="F9">
        <v>0.6843260696914597</v>
      </c>
      <c r="G9">
        <v>-3.4154714936340493E-4</v>
      </c>
      <c r="H9">
        <v>-4.4295494121042184E-3</v>
      </c>
      <c r="I9" s="28">
        <v>75117.134071560678</v>
      </c>
      <c r="J9">
        <v>75117.134071560213</v>
      </c>
      <c r="K9">
        <f t="shared" si="0"/>
        <v>4.6566128730773926E-10</v>
      </c>
      <c r="M9">
        <v>4.638155259492352E-2</v>
      </c>
      <c r="N9">
        <v>9.2287301594965176E-2</v>
      </c>
      <c r="O9">
        <v>7.6869839844690951E-2</v>
      </c>
      <c r="P9">
        <v>0.12479058240545948</v>
      </c>
      <c r="Q9">
        <v>2.75992144688606E-2</v>
      </c>
      <c r="R9">
        <v>2.0714831586830573E-2</v>
      </c>
      <c r="S9">
        <v>-3.7088872657243949E-2</v>
      </c>
      <c r="T9">
        <v>0.12407959523775364</v>
      </c>
      <c r="U9">
        <v>-2.6220379075800992E-2</v>
      </c>
      <c r="V9">
        <v>0.109366566880608</v>
      </c>
      <c r="W9">
        <v>-7.4761084562424696E-4</v>
      </c>
      <c r="X9">
        <v>3.2108859990228306E-2</v>
      </c>
      <c r="Y9">
        <v>-3.3283660529004833E-2</v>
      </c>
      <c r="Z9">
        <v>-1.945591079374942E-2</v>
      </c>
      <c r="AA9">
        <v>1.6811312839932591E-2</v>
      </c>
      <c r="AB9">
        <v>-3.0570787349726652E-2</v>
      </c>
      <c r="AC9">
        <v>-2.1911931623555259E-3</v>
      </c>
      <c r="AD9">
        <v>2.6343031155468211E-2</v>
      </c>
      <c r="AE9">
        <v>2.1198924641065431E-3</v>
      </c>
      <c r="AF9">
        <v>2.4446005537131998E-2</v>
      </c>
      <c r="AG9">
        <v>2.571724305726672E-2</v>
      </c>
      <c r="AH9">
        <v>5.2494017680464522E-2</v>
      </c>
      <c r="AI9">
        <v>4.4911755179883162E-2</v>
      </c>
      <c r="AJ9">
        <v>-3.7068669994366754E-3</v>
      </c>
      <c r="AK9">
        <v>7.886517208168603E-2</v>
      </c>
      <c r="AL9">
        <v>8.4406225923231465E-2</v>
      </c>
      <c r="AM9">
        <v>-0.10131696270716628</v>
      </c>
      <c r="AN9">
        <v>6.9693197566085857E-2</v>
      </c>
      <c r="AO9">
        <v>3.4269983249242686E-2</v>
      </c>
      <c r="AP9">
        <v>4.051547048391671E-2</v>
      </c>
      <c r="AQ9">
        <v>7.1622992057308377E-2</v>
      </c>
      <c r="AR9">
        <v>6.4758270499010118E-2</v>
      </c>
      <c r="AS9">
        <v>-3.2034030990189727E-2</v>
      </c>
      <c r="AT9">
        <v>-2.0647247877997876E-3</v>
      </c>
      <c r="AU9">
        <v>6.9134893871244801E-2</v>
      </c>
      <c r="AV9">
        <v>-7.1626808352196869E-2</v>
      </c>
    </row>
    <row r="10" spans="1:48" ht="15" x14ac:dyDescent="0.2">
      <c r="A10" s="2">
        <v>1</v>
      </c>
      <c r="B10" s="2">
        <v>1364</v>
      </c>
      <c r="C10" s="2">
        <v>47</v>
      </c>
      <c r="D10" s="2">
        <v>106001</v>
      </c>
      <c r="F10">
        <v>-8.0326982935549962E-2</v>
      </c>
      <c r="G10">
        <v>-2.6002741223469524E-5</v>
      </c>
      <c r="H10">
        <v>4.060923555343177E-3</v>
      </c>
      <c r="I10" s="28">
        <v>104910.36772487593</v>
      </c>
      <c r="J10">
        <v>104910.36772487646</v>
      </c>
      <c r="K10">
        <f t="shared" si="0"/>
        <v>-5.2386894822120667E-10</v>
      </c>
      <c r="M10">
        <v>3.1242142147007809E-2</v>
      </c>
      <c r="N10">
        <v>2.4071571674647366E-2</v>
      </c>
      <c r="O10">
        <v>3.0596858789506472E-2</v>
      </c>
      <c r="P10">
        <v>2.7599214468860937E-2</v>
      </c>
      <c r="Q10">
        <v>2.9273031865300218E-2</v>
      </c>
      <c r="R10">
        <v>3.8515503219132899E-2</v>
      </c>
      <c r="S10">
        <v>3.4474492055953057E-2</v>
      </c>
      <c r="T10">
        <v>1.6971116222704904E-2</v>
      </c>
      <c r="U10">
        <v>2.2801229666257312E-2</v>
      </c>
      <c r="V10">
        <v>3.25849811066782E-2</v>
      </c>
      <c r="W10">
        <v>3.2522011878847248E-2</v>
      </c>
      <c r="X10">
        <v>2.5183884277885801E-2</v>
      </c>
      <c r="Y10">
        <v>2.1296766699424458E-2</v>
      </c>
      <c r="Z10">
        <v>1.6667508285135687E-2</v>
      </c>
      <c r="AA10">
        <v>2.8600421420033842E-2</v>
      </c>
      <c r="AB10">
        <v>3.301875014321172E-2</v>
      </c>
      <c r="AC10">
        <v>3.7467372514873892E-2</v>
      </c>
      <c r="AD10">
        <v>1.5684728739569991E-2</v>
      </c>
      <c r="AE10">
        <v>1.8012729175668426E-2</v>
      </c>
      <c r="AF10">
        <v>3.9223171174608253E-2</v>
      </c>
      <c r="AG10">
        <v>2.5070396694957923E-2</v>
      </c>
      <c r="AH10">
        <v>2.8336006813106752E-2</v>
      </c>
      <c r="AI10">
        <v>3.0029420874867083E-2</v>
      </c>
      <c r="AJ10">
        <v>2.5478007903440267E-2</v>
      </c>
      <c r="AK10">
        <v>3.0151223510095859E-2</v>
      </c>
      <c r="AL10">
        <v>1.8126801388453229E-2</v>
      </c>
      <c r="AM10">
        <v>2.2622390924636134E-2</v>
      </c>
      <c r="AN10">
        <v>3.3740666272426528E-2</v>
      </c>
      <c r="AO10">
        <v>3.2406142365057025E-2</v>
      </c>
      <c r="AP10">
        <v>2.9470298012528588E-2</v>
      </c>
      <c r="AQ10">
        <v>1.7899826222597476E-2</v>
      </c>
      <c r="AR10">
        <v>3.1760859007555688E-2</v>
      </c>
      <c r="AS10">
        <v>3.3345549348112839E-2</v>
      </c>
      <c r="AT10">
        <v>3.589814301920468E-2</v>
      </c>
      <c r="AU10">
        <v>2.7701420438768647E-2</v>
      </c>
      <c r="AV10">
        <v>2.2155361678899043E-2</v>
      </c>
    </row>
    <row r="11" spans="1:48" ht="15" x14ac:dyDescent="0.2">
      <c r="A11" s="2">
        <v>1</v>
      </c>
      <c r="B11" s="2">
        <v>1516</v>
      </c>
      <c r="C11" s="2">
        <v>21</v>
      </c>
      <c r="D11" s="2">
        <v>88738</v>
      </c>
      <c r="F11">
        <v>0.25502321742670464</v>
      </c>
      <c r="G11">
        <v>-1.416579341925728E-5</v>
      </c>
      <c r="H11">
        <v>-5.7482727483183123E-3</v>
      </c>
      <c r="I11" s="28">
        <v>88553.83418211175</v>
      </c>
      <c r="J11">
        <v>88553.834182112187</v>
      </c>
      <c r="K11">
        <f t="shared" si="0"/>
        <v>-4.3655745685100555E-10</v>
      </c>
      <c r="M11">
        <v>5.1522653507290649E-2</v>
      </c>
      <c r="N11">
        <v>-2.6556050703944734E-3</v>
      </c>
      <c r="O11">
        <v>4.5076246901039382E-2</v>
      </c>
      <c r="P11">
        <v>2.0714831586831541E-2</v>
      </c>
      <c r="Q11">
        <v>3.8515503219133107E-2</v>
      </c>
      <c r="R11">
        <v>0.10523210427420292</v>
      </c>
      <c r="S11">
        <v>7.9686611508660632E-2</v>
      </c>
      <c r="T11">
        <v>-5.5489697090436607E-2</v>
      </c>
      <c r="U11">
        <v>-4.7061474293596042E-3</v>
      </c>
      <c r="V11">
        <v>5.7402420071136037E-2</v>
      </c>
      <c r="W11">
        <v>6.3513426455204983E-2</v>
      </c>
      <c r="X11">
        <v>8.9108292629438562E-3</v>
      </c>
      <c r="Y11">
        <v>-1.5078327637667414E-2</v>
      </c>
      <c r="Z11">
        <v>-4.9113158363643508E-2</v>
      </c>
      <c r="AA11">
        <v>3.4333091113591743E-2</v>
      </c>
      <c r="AB11">
        <v>6.8854517328819365E-2</v>
      </c>
      <c r="AC11">
        <v>9.9077911528393917E-2</v>
      </c>
      <c r="AD11">
        <v>-5.8893299846284088E-2</v>
      </c>
      <c r="AE11">
        <v>-4.0748334152560781E-2</v>
      </c>
      <c r="AF11">
        <v>0.11008659965856571</v>
      </c>
      <c r="AG11">
        <v>8.4775968091284626E-3</v>
      </c>
      <c r="AH11">
        <v>3.0309485279902182E-2</v>
      </c>
      <c r="AI11">
        <v>4.2910084631962442E-2</v>
      </c>
      <c r="AJ11">
        <v>1.3155498243160729E-2</v>
      </c>
      <c r="AK11">
        <v>4.1760299703128764E-2</v>
      </c>
      <c r="AL11">
        <v>-4.4834196860925865E-2</v>
      </c>
      <c r="AM11">
        <v>-1.5134311463433914E-3</v>
      </c>
      <c r="AN11">
        <v>6.8057920300646779E-2</v>
      </c>
      <c r="AO11">
        <v>6.0595136354152312E-2</v>
      </c>
      <c r="AP11">
        <v>3.9160904980236479E-2</v>
      </c>
      <c r="AQ11">
        <v>-4.5700661768556632E-2</v>
      </c>
      <c r="AR11">
        <v>5.4148729747900991E-2</v>
      </c>
      <c r="AS11">
        <v>7.1286211940620459E-2</v>
      </c>
      <c r="AT11">
        <v>8.7812584894737256E-2</v>
      </c>
      <c r="AU11">
        <v>2.476511893823917E-2</v>
      </c>
      <c r="AV11">
        <v>-6.6334588734304478E-3</v>
      </c>
    </row>
    <row r="12" spans="1:48" ht="15" x14ac:dyDescent="0.2">
      <c r="A12" s="2">
        <v>1</v>
      </c>
      <c r="B12" s="2">
        <v>1623</v>
      </c>
      <c r="C12" s="2">
        <v>37</v>
      </c>
      <c r="D12" s="2">
        <v>105830</v>
      </c>
      <c r="F12">
        <v>-0.20305873662120755</v>
      </c>
      <c r="G12">
        <v>1.3158495217637626E-4</v>
      </c>
      <c r="H12">
        <v>1.0915234352997256E-3</v>
      </c>
      <c r="I12" s="28">
        <v>107350.11558440616</v>
      </c>
      <c r="J12">
        <v>107350.11558440555</v>
      </c>
      <c r="K12">
        <f t="shared" si="0"/>
        <v>6.1118043959140778E-10</v>
      </c>
      <c r="M12">
        <v>3.0731593734627388E-2</v>
      </c>
      <c r="N12">
        <v>-3.1139893876301172E-2</v>
      </c>
      <c r="O12">
        <v>7.7537104092091913E-3</v>
      </c>
      <c r="P12">
        <v>-3.7088872657243324E-2</v>
      </c>
      <c r="Q12">
        <v>3.4474492055953099E-2</v>
      </c>
      <c r="R12">
        <v>7.9686611508660729E-2</v>
      </c>
      <c r="S12">
        <v>0.1000888779882074</v>
      </c>
      <c r="T12">
        <v>-8.33803645124159E-2</v>
      </c>
      <c r="U12">
        <v>4.1550178894046746E-2</v>
      </c>
      <c r="V12">
        <v>-4.9644667617908533E-3</v>
      </c>
      <c r="W12">
        <v>6.7493502160742957E-2</v>
      </c>
      <c r="X12">
        <v>1.3504396524256224E-2</v>
      </c>
      <c r="Y12">
        <v>3.9596488991395756E-2</v>
      </c>
      <c r="Z12">
        <v>1.0095035596501378E-2</v>
      </c>
      <c r="AA12">
        <v>3.8641024654604283E-2</v>
      </c>
      <c r="AB12">
        <v>8.9378488610928647E-2</v>
      </c>
      <c r="AC12">
        <v>9.0205470456428141E-2</v>
      </c>
      <c r="AD12">
        <v>-2.4481079079149176E-2</v>
      </c>
      <c r="AE12">
        <v>1.7619703991990643E-3</v>
      </c>
      <c r="AF12">
        <v>8.0335587397416475E-2</v>
      </c>
      <c r="AG12">
        <v>1.7227008136430563E-2</v>
      </c>
      <c r="AH12">
        <v>1.3907744092430285E-2</v>
      </c>
      <c r="AI12">
        <v>2.636676847008107E-2</v>
      </c>
      <c r="AJ12">
        <v>3.8456256461476712E-2</v>
      </c>
      <c r="AK12">
        <v>4.4750197835116134E-3</v>
      </c>
      <c r="AL12">
        <v>-5.2089702698846704E-2</v>
      </c>
      <c r="AM12">
        <v>9.0367764129639094E-2</v>
      </c>
      <c r="AN12">
        <v>2.6326195051778314E-2</v>
      </c>
      <c r="AO12">
        <v>4.3853118473801467E-2</v>
      </c>
      <c r="AP12">
        <v>2.6810689456557874E-2</v>
      </c>
      <c r="AQ12">
        <v>-4.4644479474497956E-2</v>
      </c>
      <c r="AR12">
        <v>2.087523514838327E-2</v>
      </c>
      <c r="AS12">
        <v>9.1782861736440208E-2</v>
      </c>
      <c r="AT12">
        <v>8.3217692691323786E-2</v>
      </c>
      <c r="AU12">
        <v>1.2371899173284351E-4</v>
      </c>
      <c r="AV12">
        <v>6.8701357054499923E-2</v>
      </c>
    </row>
    <row r="13" spans="1:48" ht="15" x14ac:dyDescent="0.2">
      <c r="A13" s="2">
        <v>1</v>
      </c>
      <c r="B13" s="2">
        <v>1376</v>
      </c>
      <c r="C13" s="2">
        <v>37</v>
      </c>
      <c r="D13" s="2">
        <v>88730</v>
      </c>
      <c r="F13">
        <v>0.10697162721923403</v>
      </c>
      <c r="G13">
        <v>-5.6905823799343979E-5</v>
      </c>
      <c r="H13">
        <v>1.0202836450478453E-4</v>
      </c>
      <c r="I13" s="28">
        <v>96596.62524982098</v>
      </c>
      <c r="J13">
        <v>96596.625249821052</v>
      </c>
      <c r="K13">
        <f t="shared" si="0"/>
        <v>0</v>
      </c>
      <c r="M13">
        <v>2.1368975045948702E-2</v>
      </c>
      <c r="N13">
        <v>0.11732259695782543</v>
      </c>
      <c r="O13">
        <v>5.582298301317247E-2</v>
      </c>
      <c r="P13">
        <v>0.12407959523775321</v>
      </c>
      <c r="Q13">
        <v>1.6971116222704641E-2</v>
      </c>
      <c r="R13">
        <v>-5.548969709043744E-2</v>
      </c>
      <c r="S13">
        <v>-8.3380364512416177E-2</v>
      </c>
      <c r="T13">
        <v>0.1989523656556792</v>
      </c>
      <c r="U13">
        <v>1.026693559087713E-2</v>
      </c>
      <c r="V13">
        <v>7.352005360234927E-2</v>
      </c>
      <c r="W13">
        <v>-3.3898281973202549E-2</v>
      </c>
      <c r="X13">
        <v>5.0463863919558427E-2</v>
      </c>
      <c r="Y13">
        <v>1.4045081293114631E-2</v>
      </c>
      <c r="Z13">
        <v>6.0506057136157781E-2</v>
      </c>
      <c r="AA13">
        <v>1.1185941742766881E-2</v>
      </c>
      <c r="AB13">
        <v>-6.664455419360929E-2</v>
      </c>
      <c r="AC13">
        <v>-7.0475517543947042E-2</v>
      </c>
      <c r="AD13">
        <v>0.11235784266167506</v>
      </c>
      <c r="AE13">
        <v>7.2076406096033357E-2</v>
      </c>
      <c r="AF13">
        <v>-5.686644921751105E-2</v>
      </c>
      <c r="AG13">
        <v>4.5009673059363986E-2</v>
      </c>
      <c r="AH13">
        <v>4.8020216225914347E-2</v>
      </c>
      <c r="AI13">
        <v>2.855202871220025E-2</v>
      </c>
      <c r="AJ13">
        <v>1.3288042287047525E-2</v>
      </c>
      <c r="AK13">
        <v>6.0946190253623481E-2</v>
      </c>
      <c r="AL13">
        <v>0.15187167669162954</v>
      </c>
      <c r="AM13">
        <v>-6.2024861248344221E-2</v>
      </c>
      <c r="AN13">
        <v>2.6439364638299614E-2</v>
      </c>
      <c r="AO13">
        <v>1.2282567631279329E-3</v>
      </c>
      <c r="AP13">
        <v>2.8221045092456931E-2</v>
      </c>
      <c r="AQ13">
        <v>0.14096329497124072</v>
      </c>
      <c r="AR13">
        <v>3.5682264730351576E-2</v>
      </c>
      <c r="AS13">
        <v>-7.0401572836606779E-2</v>
      </c>
      <c r="AT13">
        <v>-5.9193898085334595E-2</v>
      </c>
      <c r="AU13">
        <v>6.8833465277841954E-2</v>
      </c>
      <c r="AV13">
        <v>-2.9620136177300943E-2</v>
      </c>
    </row>
    <row r="14" spans="1:48" ht="15" x14ac:dyDescent="0.2">
      <c r="A14" s="2">
        <v>1</v>
      </c>
      <c r="B14" s="2">
        <v>1327</v>
      </c>
      <c r="C14" s="2">
        <v>49</v>
      </c>
      <c r="D14" s="2">
        <v>100624</v>
      </c>
      <c r="F14">
        <v>-7.435735035565938E-2</v>
      </c>
      <c r="G14">
        <v>-4.6226095755905471E-5</v>
      </c>
      <c r="H14">
        <v>4.7140931625412018E-3</v>
      </c>
      <c r="I14" s="28">
        <v>105066.75684508424</v>
      </c>
      <c r="J14">
        <v>105066.75684508339</v>
      </c>
      <c r="K14">
        <f t="shared" si="0"/>
        <v>8.440110832452774E-10</v>
      </c>
      <c r="M14">
        <v>5.5434285371689235E-3</v>
      </c>
      <c r="N14">
        <v>4.0522804384672956E-3</v>
      </c>
      <c r="O14">
        <v>-9.4261313642537703E-3</v>
      </c>
      <c r="P14">
        <v>-2.622037907580127E-2</v>
      </c>
      <c r="Q14">
        <v>2.2801229666256931E-2</v>
      </c>
      <c r="R14">
        <v>-4.7061474293599997E-3</v>
      </c>
      <c r="S14">
        <v>4.155017889404658E-2</v>
      </c>
      <c r="T14">
        <v>1.0266935590876519E-2</v>
      </c>
      <c r="U14">
        <v>7.5068685136766927E-2</v>
      </c>
      <c r="V14">
        <v>-3.4467743968123049E-2</v>
      </c>
      <c r="W14">
        <v>2.772473960645655E-2</v>
      </c>
      <c r="X14">
        <v>3.4147416688653509E-2</v>
      </c>
      <c r="Y14">
        <v>8.4152633672721661E-2</v>
      </c>
      <c r="Z14">
        <v>9.2087965670361802E-2</v>
      </c>
      <c r="AA14">
        <v>3.1157101447954527E-2</v>
      </c>
      <c r="AB14">
        <v>4.2824313213996587E-2</v>
      </c>
      <c r="AC14">
        <v>1.1745568721800492E-2</v>
      </c>
      <c r="AD14">
        <v>6.9646627188839474E-2</v>
      </c>
      <c r="AE14">
        <v>7.5376222106966623E-2</v>
      </c>
      <c r="AF14">
        <v>-9.2091175855021495E-3</v>
      </c>
      <c r="AG14">
        <v>3.8130332020326285E-2</v>
      </c>
      <c r="AH14">
        <v>1.1970601543847825E-2</v>
      </c>
      <c r="AI14">
        <v>1.0488445294110069E-2</v>
      </c>
      <c r="AJ14">
        <v>5.3307913851536742E-2</v>
      </c>
      <c r="AK14">
        <v>-9.03609024590174E-3</v>
      </c>
      <c r="AL14">
        <v>2.8673353258279133E-2</v>
      </c>
      <c r="AM14">
        <v>0.11794465510112247</v>
      </c>
      <c r="AN14">
        <v>-1.6061326300720435E-2</v>
      </c>
      <c r="AO14">
        <v>8.4082259962325046E-3</v>
      </c>
      <c r="AP14">
        <v>1.4861401744134889E-2</v>
      </c>
      <c r="AQ14">
        <v>3.6639183921624657E-2</v>
      </c>
      <c r="AR14">
        <v>-6.5613339051901892E-3</v>
      </c>
      <c r="AS14">
        <v>4.2538283060538418E-2</v>
      </c>
      <c r="AT14">
        <v>1.7002618373423234E-2</v>
      </c>
      <c r="AU14">
        <v>4.7588503759829065E-3</v>
      </c>
      <c r="AV14">
        <v>0.10281907875235896</v>
      </c>
    </row>
    <row r="15" spans="1:48" ht="15" x14ac:dyDescent="0.2">
      <c r="A15" s="2">
        <v>1</v>
      </c>
      <c r="B15" s="2">
        <v>1178</v>
      </c>
      <c r="C15" s="2">
        <v>50</v>
      </c>
      <c r="D15" s="2">
        <v>98857</v>
      </c>
      <c r="F15">
        <v>9.2428933469418162E-2</v>
      </c>
      <c r="G15">
        <v>-1.5592500486354661E-4</v>
      </c>
      <c r="H15">
        <v>4.5178880603153563E-3</v>
      </c>
      <c r="I15" s="28">
        <v>99463.451451085537</v>
      </c>
      <c r="J15">
        <v>99463.451451084533</v>
      </c>
      <c r="K15">
        <f t="shared" si="0"/>
        <v>1.0040821507573128E-9</v>
      </c>
      <c r="M15">
        <v>5.5025606156600015E-2</v>
      </c>
      <c r="N15">
        <v>7.0134428975147239E-2</v>
      </c>
      <c r="O15">
        <v>7.8712821027416863E-2</v>
      </c>
      <c r="P15">
        <v>0.10936656688060814</v>
      </c>
      <c r="Q15">
        <v>3.2584981106677791E-2</v>
      </c>
      <c r="R15">
        <v>5.740242007113508E-2</v>
      </c>
      <c r="S15">
        <v>-4.9644667617916582E-3</v>
      </c>
      <c r="T15">
        <v>7.3520053602349728E-2</v>
      </c>
      <c r="U15">
        <v>-3.4467743968122994E-2</v>
      </c>
      <c r="V15">
        <v>0.11283414688842605</v>
      </c>
      <c r="W15">
        <v>1.9346043019472514E-2</v>
      </c>
      <c r="X15">
        <v>2.2844993994029061E-2</v>
      </c>
      <c r="Y15">
        <v>-4.544015510824706E-2</v>
      </c>
      <c r="Z15">
        <v>-4.907772463709606E-2</v>
      </c>
      <c r="AA15">
        <v>2.1215927750814489E-2</v>
      </c>
      <c r="AB15">
        <v>-4.2703428842480462E-3</v>
      </c>
      <c r="AC15">
        <v>3.4522655425215903E-2</v>
      </c>
      <c r="AD15">
        <v>-1.353981943416116E-2</v>
      </c>
      <c r="AE15">
        <v>-2.6339617925369402E-2</v>
      </c>
      <c r="AF15">
        <v>6.2909874331326027E-2</v>
      </c>
      <c r="AG15">
        <v>1.7054223865452967E-2</v>
      </c>
      <c r="AH15">
        <v>5.0566420609434115E-2</v>
      </c>
      <c r="AI15">
        <v>4.9758970384536444E-2</v>
      </c>
      <c r="AJ15">
        <v>-6.5196646580097939E-3</v>
      </c>
      <c r="AK15">
        <v>7.8925307928705724E-2</v>
      </c>
      <c r="AL15">
        <v>4.374458694115238E-2</v>
      </c>
      <c r="AM15">
        <v>-9.8676183945553136E-2</v>
      </c>
      <c r="AN15">
        <v>8.3058680227228704E-2</v>
      </c>
      <c r="AO15">
        <v>4.8625706910995853E-2</v>
      </c>
      <c r="AP15">
        <v>4.418068715724921E-2</v>
      </c>
      <c r="AQ15">
        <v>3.2163046684000218E-2</v>
      </c>
      <c r="AR15">
        <v>7.23129217818127E-2</v>
      </c>
      <c r="AS15">
        <v>-4.4261666118599052E-3</v>
      </c>
      <c r="AT15">
        <v>2.9426009174183421E-2</v>
      </c>
      <c r="AU15">
        <v>6.2558768875744714E-2</v>
      </c>
      <c r="AV15">
        <v>-7.5073963835251861E-2</v>
      </c>
    </row>
    <row r="16" spans="1:48" ht="15" x14ac:dyDescent="0.2">
      <c r="A16" s="2">
        <v>1</v>
      </c>
      <c r="B16" s="2">
        <v>1491</v>
      </c>
      <c r="C16" s="2">
        <v>37</v>
      </c>
      <c r="D16" s="2">
        <v>102622</v>
      </c>
      <c r="F16">
        <v>-3.7374493597165825E-2</v>
      </c>
      <c r="G16">
        <v>3.0853039509189686E-5</v>
      </c>
      <c r="H16">
        <v>5.6272445009757088E-4</v>
      </c>
      <c r="I16" s="28">
        <v>101603.31103312987</v>
      </c>
      <c r="J16">
        <v>101603.31103312962</v>
      </c>
      <c r="K16">
        <f t="shared" si="0"/>
        <v>2.4738255888223648E-10</v>
      </c>
      <c r="M16">
        <v>3.3287731272527016E-2</v>
      </c>
      <c r="N16">
        <v>-2.4494784030483843E-3</v>
      </c>
      <c r="O16">
        <v>2.2473974874685658E-2</v>
      </c>
      <c r="P16">
        <v>-7.476108456237647E-4</v>
      </c>
      <c r="Q16">
        <v>3.2522011878847241E-2</v>
      </c>
      <c r="R16">
        <v>6.351342645520483E-2</v>
      </c>
      <c r="S16">
        <v>6.749350216074286E-2</v>
      </c>
      <c r="T16">
        <v>-3.3898281973202306E-2</v>
      </c>
      <c r="U16">
        <v>2.7724739606456772E-2</v>
      </c>
      <c r="V16">
        <v>1.9346043019473104E-2</v>
      </c>
      <c r="W16">
        <v>5.0890007867140964E-2</v>
      </c>
      <c r="X16">
        <v>1.8388524679576031E-2</v>
      </c>
      <c r="Y16">
        <v>2.503914324653031E-2</v>
      </c>
      <c r="Z16">
        <v>6.5245088075499558E-3</v>
      </c>
      <c r="AA16">
        <v>3.3520794179859294E-2</v>
      </c>
      <c r="AB16">
        <v>6.1045839504100433E-2</v>
      </c>
      <c r="AC16">
        <v>6.6826840578992713E-2</v>
      </c>
      <c r="AD16">
        <v>-9.7619182653002415E-3</v>
      </c>
      <c r="AE16">
        <v>4.5269442055258236E-3</v>
      </c>
      <c r="AF16">
        <v>6.4658847206903514E-2</v>
      </c>
      <c r="AG16">
        <v>1.9874802971404884E-2</v>
      </c>
      <c r="AH16">
        <v>2.2405024059776485E-2</v>
      </c>
      <c r="AI16">
        <v>2.9905366333829952E-2</v>
      </c>
      <c r="AJ16">
        <v>2.9635879751835223E-2</v>
      </c>
      <c r="AK16">
        <v>2.0500200592040017E-2</v>
      </c>
      <c r="AL16">
        <v>-1.8834963287828216E-2</v>
      </c>
      <c r="AM16">
        <v>4.8810859094923706E-2</v>
      </c>
      <c r="AN16">
        <v>3.4409361704847194E-2</v>
      </c>
      <c r="AO16">
        <v>4.0432162507940045E-2</v>
      </c>
      <c r="AP16">
        <v>2.9417870343013158E-2</v>
      </c>
      <c r="AQ16">
        <v>-1.5862406704170516E-2</v>
      </c>
      <c r="AR16">
        <v>2.9618406110098687E-2</v>
      </c>
      <c r="AS16">
        <v>6.2493273978040567E-2</v>
      </c>
      <c r="AT16">
        <v>6.1865456214179139E-2</v>
      </c>
      <c r="AU16">
        <v>1.5616503863003867E-2</v>
      </c>
      <c r="AV16">
        <v>3.8786612410140628E-2</v>
      </c>
    </row>
    <row r="17" spans="1:48" ht="15" x14ac:dyDescent="0.2">
      <c r="A17" s="2">
        <v>1</v>
      </c>
      <c r="B17" s="2">
        <v>1667</v>
      </c>
      <c r="C17" s="2">
        <v>41</v>
      </c>
      <c r="D17" s="2">
        <v>108059</v>
      </c>
      <c r="F17">
        <v>-0.33923114325564585</v>
      </c>
      <c r="G17">
        <v>1.8118646807156464E-4</v>
      </c>
      <c r="H17">
        <v>2.8705768940431517E-3</v>
      </c>
      <c r="I17" s="28">
        <v>112800.1888024747</v>
      </c>
      <c r="J17">
        <v>112800.18880247517</v>
      </c>
      <c r="K17">
        <f t="shared" si="0"/>
        <v>-4.6566128730773926E-10</v>
      </c>
      <c r="M17">
        <v>2.255644369169197E-2</v>
      </c>
      <c r="N17">
        <v>3.6863372031515122E-2</v>
      </c>
      <c r="O17">
        <v>2.4936715599840682E-2</v>
      </c>
      <c r="P17">
        <v>3.2108859990228208E-2</v>
      </c>
      <c r="Q17">
        <v>2.5183884277885531E-2</v>
      </c>
      <c r="R17">
        <v>8.910829262943315E-3</v>
      </c>
      <c r="S17">
        <v>1.3504396524255925E-2</v>
      </c>
      <c r="T17">
        <v>5.046386391955833E-2</v>
      </c>
      <c r="U17">
        <v>3.4147416688653724E-2</v>
      </c>
      <c r="V17">
        <v>2.2844993994029041E-2</v>
      </c>
      <c r="W17">
        <v>1.8388524679575781E-2</v>
      </c>
      <c r="X17">
        <v>3.2444263158013749E-2</v>
      </c>
      <c r="Y17">
        <v>3.6456988898239014E-2</v>
      </c>
      <c r="Z17">
        <v>4.5037985008846051E-2</v>
      </c>
      <c r="AA17">
        <v>2.5900093421089183E-2</v>
      </c>
      <c r="AB17">
        <v>1.6292781890423789E-2</v>
      </c>
      <c r="AC17">
        <v>9.7741893113572065E-3</v>
      </c>
      <c r="AD17">
        <v>4.8636845782968799E-2</v>
      </c>
      <c r="AE17">
        <v>4.3605566722438718E-2</v>
      </c>
      <c r="AF17">
        <v>7.8414018938496935E-3</v>
      </c>
      <c r="AG17">
        <v>3.2375574051120501E-2</v>
      </c>
      <c r="AH17">
        <v>2.783690202193706E-2</v>
      </c>
      <c r="AI17">
        <v>2.4593270065374456E-2</v>
      </c>
      <c r="AJ17">
        <v>3.0450548733366528E-2</v>
      </c>
      <c r="AK17">
        <v>2.5790302956830845E-2</v>
      </c>
      <c r="AL17">
        <v>4.6819880604730135E-2</v>
      </c>
      <c r="AM17">
        <v>3.134322685605162E-2</v>
      </c>
      <c r="AN17">
        <v>1.9201010679200853E-2</v>
      </c>
      <c r="AO17">
        <v>2.0040804161426937E-2</v>
      </c>
      <c r="AP17">
        <v>2.5378168315471357E-2</v>
      </c>
      <c r="AQ17">
        <v>4.6682502390943639E-2</v>
      </c>
      <c r="AR17">
        <v>2.2421076069575649E-2</v>
      </c>
      <c r="AS17">
        <v>1.5666817828631004E-2</v>
      </c>
      <c r="AT17">
        <v>1.2493885570631823E-2</v>
      </c>
      <c r="AU17">
        <v>2.9624549125904523E-2</v>
      </c>
      <c r="AV17">
        <v>3.3382063821404268E-2</v>
      </c>
    </row>
    <row r="18" spans="1:48" ht="15" x14ac:dyDescent="0.2">
      <c r="A18" s="2">
        <v>1</v>
      </c>
      <c r="B18" s="2">
        <v>1769</v>
      </c>
      <c r="C18" s="2">
        <v>34</v>
      </c>
      <c r="D18" s="2">
        <v>110054</v>
      </c>
      <c r="F18">
        <v>-0.32560730665525384</v>
      </c>
      <c r="G18">
        <v>2.3098239379609379E-4</v>
      </c>
      <c r="H18">
        <v>4.743168135996241E-4</v>
      </c>
      <c r="I18" s="28">
        <v>111055.57593356824</v>
      </c>
      <c r="J18">
        <v>111055.5759335684</v>
      </c>
      <c r="K18">
        <f t="shared" si="0"/>
        <v>-1.6007106751203537E-10</v>
      </c>
      <c r="M18">
        <v>6.3757631477937005E-4</v>
      </c>
      <c r="N18">
        <v>2.9970444074528257E-3</v>
      </c>
      <c r="O18">
        <v>-1.5953717643346077E-2</v>
      </c>
      <c r="P18">
        <v>-3.328366052900486E-2</v>
      </c>
      <c r="Q18">
        <v>2.1296766699424485E-2</v>
      </c>
      <c r="R18">
        <v>-1.5078327637667366E-2</v>
      </c>
      <c r="S18">
        <v>3.9596488991396117E-2</v>
      </c>
      <c r="T18">
        <v>1.4045081293114242E-2</v>
      </c>
      <c r="U18">
        <v>8.4152633672722049E-2</v>
      </c>
      <c r="V18">
        <v>-4.5440155108246824E-2</v>
      </c>
      <c r="W18">
        <v>2.5039143246530504E-2</v>
      </c>
      <c r="X18">
        <v>3.6456988898239145E-2</v>
      </c>
      <c r="Y18">
        <v>9.5291185540772955E-2</v>
      </c>
      <c r="Z18">
        <v>0.10689296697094408</v>
      </c>
      <c r="AA18">
        <v>3.1140987886310034E-2</v>
      </c>
      <c r="AB18">
        <v>4.1861567683435463E-2</v>
      </c>
      <c r="AC18">
        <v>4.1478537785447078E-3</v>
      </c>
      <c r="AD18">
        <v>8.2029139081633839E-2</v>
      </c>
      <c r="AE18">
        <v>8.7204524597172955E-2</v>
      </c>
      <c r="AF18">
        <v>-2.0578264428058962E-2</v>
      </c>
      <c r="AG18">
        <v>4.1032403773512638E-2</v>
      </c>
      <c r="AH18">
        <v>9.5582441911079563E-3</v>
      </c>
      <c r="AI18">
        <v>6.9233567330213575E-3</v>
      </c>
      <c r="AJ18">
        <v>5.7993506497685338E-2</v>
      </c>
      <c r="AK18">
        <v>-1.5260326207007485E-2</v>
      </c>
      <c r="AL18">
        <v>3.4241042115639164E-2</v>
      </c>
      <c r="AM18">
        <v>0.13281805785351775</v>
      </c>
      <c r="AN18">
        <v>-2.5244194285721916E-2</v>
      </c>
      <c r="AO18">
        <v>3.2252690725488864E-3</v>
      </c>
      <c r="AP18">
        <v>1.2192163044633414E-2</v>
      </c>
      <c r="AQ18">
        <v>4.3391871866186149E-2</v>
      </c>
      <c r="AR18">
        <v>-1.3366024885576533E-2</v>
      </c>
      <c r="AS18">
        <v>4.1353080630120498E-2</v>
      </c>
      <c r="AT18">
        <v>1.0988347345857546E-2</v>
      </c>
      <c r="AU18">
        <v>1.7479712174822415E-3</v>
      </c>
      <c r="AV18">
        <v>0.11594940732085693</v>
      </c>
    </row>
    <row r="19" spans="1:48" ht="15" x14ac:dyDescent="0.2">
      <c r="A19" s="2">
        <v>1</v>
      </c>
      <c r="B19" s="2">
        <v>1104</v>
      </c>
      <c r="C19" s="2">
        <v>44</v>
      </c>
      <c r="D19" s="2">
        <v>91892</v>
      </c>
      <c r="F19">
        <v>0.30672901269525954</v>
      </c>
      <c r="G19">
        <v>-2.3643224311040113E-4</v>
      </c>
      <c r="H19">
        <v>1.8172594488546287E-3</v>
      </c>
      <c r="I19" s="28">
        <v>90940.050439054859</v>
      </c>
      <c r="J19">
        <v>90940.050439054277</v>
      </c>
      <c r="K19">
        <f t="shared" si="0"/>
        <v>5.8207660913467407E-10</v>
      </c>
      <c r="M19">
        <v>-7.4851191458040478E-3</v>
      </c>
      <c r="N19">
        <v>2.3239980973769642E-2</v>
      </c>
      <c r="O19">
        <v>-1.7916346148751677E-2</v>
      </c>
      <c r="P19">
        <v>-1.945591079374967E-2</v>
      </c>
      <c r="Q19">
        <v>1.666750828513569E-2</v>
      </c>
      <c r="R19">
        <v>-4.9113158363643494E-2</v>
      </c>
      <c r="S19">
        <v>1.0095035596501795E-2</v>
      </c>
      <c r="T19">
        <v>6.050605713615731E-2</v>
      </c>
      <c r="U19">
        <v>9.2087965670362315E-2</v>
      </c>
      <c r="V19">
        <v>-4.9077724637096032E-2</v>
      </c>
      <c r="W19">
        <v>6.5245088075501778E-3</v>
      </c>
      <c r="X19">
        <v>4.5037985008846204E-2</v>
      </c>
      <c r="Y19">
        <v>0.10689296697094428</v>
      </c>
      <c r="Z19">
        <v>0.13464368075592809</v>
      </c>
      <c r="AA19">
        <v>2.7106609449538355E-2</v>
      </c>
      <c r="AB19">
        <v>1.7735360834815556E-2</v>
      </c>
      <c r="AC19">
        <v>-2.9794206083473662E-2</v>
      </c>
      <c r="AD19">
        <v>0.11907480275393839</v>
      </c>
      <c r="AE19">
        <v>0.11376547842712278</v>
      </c>
      <c r="AF19">
        <v>-5.62817715066391E-2</v>
      </c>
      <c r="AG19">
        <v>4.9088098054570928E-2</v>
      </c>
      <c r="AH19">
        <v>1.122194435709406E-2</v>
      </c>
      <c r="AI19">
        <v>2.3342190798719131E-3</v>
      </c>
      <c r="AJ19">
        <v>6.0766725096426943E-2</v>
      </c>
      <c r="AK19">
        <v>-1.557747107579846E-2</v>
      </c>
      <c r="AL19">
        <v>7.171297208269517E-2</v>
      </c>
      <c r="AM19">
        <v>0.13102590899824657</v>
      </c>
      <c r="AN19">
        <v>-3.7870809690558144E-2</v>
      </c>
      <c r="AO19">
        <v>-1.0139781309211809E-2</v>
      </c>
      <c r="AP19">
        <v>8.7232071985498261E-3</v>
      </c>
      <c r="AQ19">
        <v>7.981319817414459E-2</v>
      </c>
      <c r="AR19">
        <v>-2.0571008312159439E-2</v>
      </c>
      <c r="AS19">
        <v>1.6020185781316559E-2</v>
      </c>
      <c r="AT19">
        <v>-1.8103767799435178E-2</v>
      </c>
      <c r="AU19">
        <v>7.6435434066874641E-3</v>
      </c>
      <c r="AV19">
        <v>0.1196591319661176</v>
      </c>
    </row>
    <row r="20" spans="1:48" ht="15" x14ac:dyDescent="0.2">
      <c r="A20" s="2">
        <v>1</v>
      </c>
      <c r="B20" s="2">
        <v>1196</v>
      </c>
      <c r="C20" s="2">
        <v>46</v>
      </c>
      <c r="D20" s="2">
        <v>98693</v>
      </c>
      <c r="F20">
        <v>0.15077995322892757</v>
      </c>
      <c r="G20">
        <v>-1.5821304662717772E-4</v>
      </c>
      <c r="H20">
        <v>2.9872098825002129E-3</v>
      </c>
      <c r="I20" s="28">
        <v>96712.63491619096</v>
      </c>
      <c r="J20">
        <v>96712.634916189956</v>
      </c>
      <c r="K20">
        <f t="shared" si="0"/>
        <v>1.0040821507573128E-9</v>
      </c>
      <c r="M20">
        <v>2.7552792160501799E-2</v>
      </c>
      <c r="N20">
        <v>1.8559818185463289E-2</v>
      </c>
      <c r="O20">
        <v>2.3790095424161224E-2</v>
      </c>
      <c r="P20">
        <v>1.6811312839932757E-2</v>
      </c>
      <c r="Q20">
        <v>2.8600421420033682E-2</v>
      </c>
      <c r="R20">
        <v>3.4333091113591375E-2</v>
      </c>
      <c r="S20">
        <v>3.8641024654604082E-2</v>
      </c>
      <c r="T20">
        <v>1.118594174276695E-2</v>
      </c>
      <c r="U20">
        <v>3.1157101447954735E-2</v>
      </c>
      <c r="V20">
        <v>2.1215927750814725E-2</v>
      </c>
      <c r="W20">
        <v>3.3520794179859155E-2</v>
      </c>
      <c r="X20">
        <v>2.5900093421089308E-2</v>
      </c>
      <c r="Y20">
        <v>3.1140987886309861E-2</v>
      </c>
      <c r="Z20">
        <v>2.7106609449538167E-2</v>
      </c>
      <c r="AA20">
        <v>2.9448192964646118E-2</v>
      </c>
      <c r="AB20">
        <v>3.7129225718653791E-2</v>
      </c>
      <c r="AC20">
        <v>3.6337164597908138E-2</v>
      </c>
      <c r="AD20">
        <v>2.1447137825272709E-2</v>
      </c>
      <c r="AE20">
        <v>2.5411066360313303E-2</v>
      </c>
      <c r="AF20">
        <v>3.4294868335150025E-2</v>
      </c>
      <c r="AG20">
        <v>2.6555376989714448E-2</v>
      </c>
      <c r="AH20">
        <v>2.530789001526311E-2</v>
      </c>
      <c r="AI20">
        <v>2.7066513267286922E-2</v>
      </c>
      <c r="AJ20">
        <v>3.0071249409981508E-2</v>
      </c>
      <c r="AK20">
        <v>2.3327299831523374E-2</v>
      </c>
      <c r="AL20">
        <v>1.6251835877425652E-2</v>
      </c>
      <c r="AM20">
        <v>3.9475930125162109E-2</v>
      </c>
      <c r="AN20">
        <v>2.6281821885473428E-2</v>
      </c>
      <c r="AO20">
        <v>2.9534756428022092E-2</v>
      </c>
      <c r="AP20">
        <v>2.7259001243274218E-2</v>
      </c>
      <c r="AQ20">
        <v>1.7562403014675931E-2</v>
      </c>
      <c r="AR20">
        <v>2.5772059691681518E-2</v>
      </c>
      <c r="AS20">
        <v>3.7468609153254874E-2</v>
      </c>
      <c r="AT20">
        <v>3.5480649230582986E-2</v>
      </c>
      <c r="AU20">
        <v>2.3102584732246328E-2</v>
      </c>
      <c r="AV20">
        <v>3.5898351625876665E-2</v>
      </c>
    </row>
    <row r="21" spans="1:48" ht="15" x14ac:dyDescent="0.2">
      <c r="A21" s="2">
        <v>1</v>
      </c>
      <c r="B21" s="2">
        <v>1794</v>
      </c>
      <c r="C21" s="2">
        <v>29</v>
      </c>
      <c r="D21" s="2">
        <v>110530</v>
      </c>
      <c r="F21">
        <v>-0.25580649110404963</v>
      </c>
      <c r="G21">
        <v>2.300301429678274E-4</v>
      </c>
      <c r="H21">
        <v>-1.4290157763738078E-3</v>
      </c>
      <c r="I21" s="28">
        <v>107725.89626024</v>
      </c>
      <c r="J21">
        <v>107725.8962602395</v>
      </c>
      <c r="K21">
        <f t="shared" si="0"/>
        <v>4.9476511776447296E-10</v>
      </c>
      <c r="M21">
        <v>2.8602714821829828E-2</v>
      </c>
      <c r="N21">
        <v>-2.3340988324505429E-2</v>
      </c>
      <c r="O21">
        <v>8.2422703101505679E-3</v>
      </c>
      <c r="P21">
        <v>-3.0570787349726417E-2</v>
      </c>
      <c r="Q21">
        <v>3.3018750143211428E-2</v>
      </c>
      <c r="R21">
        <v>6.8854517328819101E-2</v>
      </c>
      <c r="S21">
        <v>8.9378488610928314E-2</v>
      </c>
      <c r="T21">
        <v>-6.6644554193609401E-2</v>
      </c>
      <c r="U21">
        <v>4.2824313213996434E-2</v>
      </c>
      <c r="V21">
        <v>-4.2703428842476646E-3</v>
      </c>
      <c r="W21">
        <v>6.1045839504100197E-2</v>
      </c>
      <c r="X21">
        <v>1.6292781890423713E-2</v>
      </c>
      <c r="Y21">
        <v>4.186156768343488E-2</v>
      </c>
      <c r="Z21">
        <v>1.7735360834814889E-2</v>
      </c>
      <c r="AA21">
        <v>3.712922571865368E-2</v>
      </c>
      <c r="AB21">
        <v>8.0500351675421661E-2</v>
      </c>
      <c r="AC21">
        <v>7.8887333160419168E-2</v>
      </c>
      <c r="AD21">
        <v>-1.2895899166739805E-2</v>
      </c>
      <c r="AE21">
        <v>9.5144096839304415E-3</v>
      </c>
      <c r="AF21">
        <v>6.9064110391992506E-2</v>
      </c>
      <c r="AG21">
        <v>1.9706918188681546E-2</v>
      </c>
      <c r="AH21">
        <v>1.4985323121360583E-2</v>
      </c>
      <c r="AI21">
        <v>2.5312951801439776E-2</v>
      </c>
      <c r="AJ21">
        <v>3.8617870955788322E-2</v>
      </c>
      <c r="AK21">
        <v>5.5244732890770698E-3</v>
      </c>
      <c r="AL21">
        <v>-3.9065057554169433E-2</v>
      </c>
      <c r="AM21">
        <v>8.6902525345409098E-2</v>
      </c>
      <c r="AN21">
        <v>2.3309153755192311E-2</v>
      </c>
      <c r="AO21">
        <v>3.9807869247164951E-2</v>
      </c>
      <c r="AP21">
        <v>2.600929107862418E-2</v>
      </c>
      <c r="AQ21">
        <v>-3.2236784957653725E-2</v>
      </c>
      <c r="AR21">
        <v>1.9447424735485691E-2</v>
      </c>
      <c r="AS21">
        <v>8.2493402824208834E-2</v>
      </c>
      <c r="AT21">
        <v>7.3423332523170348E-2</v>
      </c>
      <c r="AU21">
        <v>2.9026429507695434E-3</v>
      </c>
      <c r="AV21">
        <v>6.7629199642159188E-2</v>
      </c>
    </row>
    <row r="22" spans="1:48" ht="15" x14ac:dyDescent="0.2">
      <c r="A22" s="2">
        <v>1</v>
      </c>
      <c r="B22" s="2">
        <v>1379</v>
      </c>
      <c r="C22" s="2">
        <v>38</v>
      </c>
      <c r="D22" s="2">
        <v>96883</v>
      </c>
      <c r="F22">
        <v>8.2969994834808825E-2</v>
      </c>
      <c r="G22">
        <v>-5.061040922961873E-5</v>
      </c>
      <c r="H22">
        <v>5.1474330584505568E-4</v>
      </c>
      <c r="I22" s="28">
        <v>97610.852369412678</v>
      </c>
      <c r="J22">
        <v>97610.852369412634</v>
      </c>
      <c r="K22">
        <f t="shared" si="0"/>
        <v>0</v>
      </c>
      <c r="M22">
        <v>4.4578418618522839E-2</v>
      </c>
      <c r="N22">
        <v>-1.5270725426680339E-2</v>
      </c>
      <c r="O22">
        <v>3.1363014068115785E-2</v>
      </c>
      <c r="P22">
        <v>-2.1911931623550054E-3</v>
      </c>
      <c r="Q22">
        <v>3.7467372514873698E-2</v>
      </c>
      <c r="R22">
        <v>9.9077911528393542E-2</v>
      </c>
      <c r="S22">
        <v>9.0205470456427669E-2</v>
      </c>
      <c r="T22">
        <v>-7.0475517543946736E-2</v>
      </c>
      <c r="U22">
        <v>1.1745568721800419E-2</v>
      </c>
      <c r="V22">
        <v>3.4522655425216459E-2</v>
      </c>
      <c r="W22">
        <v>6.6826840578992491E-2</v>
      </c>
      <c r="X22">
        <v>9.7741893113572932E-3</v>
      </c>
      <c r="Y22">
        <v>4.1478537785442256E-3</v>
      </c>
      <c r="Z22">
        <v>-2.9794206083474127E-2</v>
      </c>
      <c r="AA22">
        <v>3.6337164597908117E-2</v>
      </c>
      <c r="AB22">
        <v>7.8887333160419112E-2</v>
      </c>
      <c r="AC22">
        <v>9.91273196324233E-2</v>
      </c>
      <c r="AD22">
        <v>-4.9732804105982811E-2</v>
      </c>
      <c r="AE22">
        <v>-2.7533790249542979E-2</v>
      </c>
      <c r="AF22">
        <v>0.10253029540932751</v>
      </c>
      <c r="AG22">
        <v>1.094145330634521E-2</v>
      </c>
      <c r="AH22">
        <v>2.4033337596677917E-2</v>
      </c>
      <c r="AI22">
        <v>3.719933404305531E-2</v>
      </c>
      <c r="AJ22">
        <v>2.2308998706383538E-2</v>
      </c>
      <c r="AK22">
        <v>2.7898278161174375E-2</v>
      </c>
      <c r="AL22">
        <v>-5.1242218728833742E-2</v>
      </c>
      <c r="AM22">
        <v>3.2900838843326737E-2</v>
      </c>
      <c r="AN22">
        <v>5.3755954240329425E-2</v>
      </c>
      <c r="AO22">
        <v>5.5677925546742779E-2</v>
      </c>
      <c r="AP22">
        <v>3.490186213110176E-2</v>
      </c>
      <c r="AQ22">
        <v>-4.8907690738857965E-2</v>
      </c>
      <c r="AR22">
        <v>4.246252099633567E-2</v>
      </c>
      <c r="AS22">
        <v>8.142813949217613E-2</v>
      </c>
      <c r="AT22">
        <v>8.8976446331402614E-2</v>
      </c>
      <c r="AU22">
        <v>1.5000320186615422E-2</v>
      </c>
      <c r="AV22">
        <v>2.1071328655696213E-2</v>
      </c>
    </row>
    <row r="23" spans="1:48" ht="15" x14ac:dyDescent="0.2">
      <c r="A23" s="2">
        <v>1</v>
      </c>
      <c r="B23" s="2">
        <v>1448</v>
      </c>
      <c r="C23" s="2">
        <v>32</v>
      </c>
      <c r="D23" s="2">
        <v>99593</v>
      </c>
      <c r="F23">
        <v>0.11777881078460517</v>
      </c>
      <c r="G23">
        <v>-2.199140875368792E-5</v>
      </c>
      <c r="H23">
        <v>-1.6130197383133361E-3</v>
      </c>
      <c r="I23" s="28">
        <v>95313.15628793143</v>
      </c>
      <c r="J23">
        <v>95313.156287931313</v>
      </c>
      <c r="K23">
        <f t="shared" si="0"/>
        <v>1.1641532182693481E-10</v>
      </c>
      <c r="M23">
        <v>-8.0516653715428238E-4</v>
      </c>
      <c r="N23">
        <v>5.585053655828872E-2</v>
      </c>
      <c r="O23">
        <v>3.5109755798368517E-3</v>
      </c>
      <c r="P23">
        <v>2.6343031155467836E-2</v>
      </c>
      <c r="Q23">
        <v>1.5684728739569859E-2</v>
      </c>
      <c r="R23">
        <v>-5.8893299846284428E-2</v>
      </c>
      <c r="S23">
        <v>-2.4481079079149037E-2</v>
      </c>
      <c r="T23">
        <v>0.11235784266167459</v>
      </c>
      <c r="U23">
        <v>6.964662718883996E-2</v>
      </c>
      <c r="V23">
        <v>-1.3539819434161361E-2</v>
      </c>
      <c r="W23">
        <v>-9.7619182653002345E-3</v>
      </c>
      <c r="X23">
        <v>4.8636845782968868E-2</v>
      </c>
      <c r="Y23">
        <v>8.2029139081634062E-2</v>
      </c>
      <c r="Z23">
        <v>0.11907480275393843</v>
      </c>
      <c r="AA23">
        <v>2.1447137825272716E-2</v>
      </c>
      <c r="AB23">
        <v>-1.2895899166739333E-2</v>
      </c>
      <c r="AC23">
        <v>-4.97328041059827E-2</v>
      </c>
      <c r="AD23">
        <v>0.12566723205098038</v>
      </c>
      <c r="AE23">
        <v>0.10754998458253269</v>
      </c>
      <c r="AF23">
        <v>-6.4729907428015848E-2</v>
      </c>
      <c r="AG23">
        <v>4.9744808502492258E-2</v>
      </c>
      <c r="AH23">
        <v>2.2527427034746805E-2</v>
      </c>
      <c r="AI23">
        <v>9.050789177453944E-3</v>
      </c>
      <c r="AJ23">
        <v>4.7320124330384336E-2</v>
      </c>
      <c r="AK23">
        <v>7.0574592264928473E-3</v>
      </c>
      <c r="AL23">
        <v>0.10418458615888847</v>
      </c>
      <c r="AM23">
        <v>7.3322656351623203E-2</v>
      </c>
      <c r="AN23">
        <v>-2.1713075936947504E-2</v>
      </c>
      <c r="AO23">
        <v>-9.8637902713781256E-3</v>
      </c>
      <c r="AP23">
        <v>1.3705235543633391E-2</v>
      </c>
      <c r="AQ23">
        <v>0.10640051159793532</v>
      </c>
      <c r="AR23">
        <v>-5.5476481543869915E-3</v>
      </c>
      <c r="AS23">
        <v>-1.5496653840953778E-2</v>
      </c>
      <c r="AT23">
        <v>-3.7039661474049607E-2</v>
      </c>
      <c r="AU23">
        <v>2.716803664590163E-2</v>
      </c>
      <c r="AV23">
        <v>7.6220205009951927E-2</v>
      </c>
    </row>
    <row r="24" spans="1:48" ht="15" x14ac:dyDescent="0.2">
      <c r="A24" s="2">
        <v>1</v>
      </c>
      <c r="B24" s="2">
        <v>1505</v>
      </c>
      <c r="C24" s="2">
        <v>32</v>
      </c>
      <c r="D24" s="2">
        <v>94564</v>
      </c>
      <c r="F24">
        <v>4.6233342206041694E-2</v>
      </c>
      <c r="G24">
        <v>2.1506462625324409E-5</v>
      </c>
      <c r="H24">
        <v>-1.3846747219760421E-3</v>
      </c>
      <c r="I24" s="28">
        <v>97794.730980527733</v>
      </c>
      <c r="J24">
        <v>97794.730980527733</v>
      </c>
      <c r="K24">
        <f t="shared" si="0"/>
        <v>0</v>
      </c>
      <c r="M24">
        <v>-1.0641917279234636E-4</v>
      </c>
      <c r="N24">
        <v>3.4263487952137545E-2</v>
      </c>
      <c r="O24">
        <v>-4.3028194180614876E-3</v>
      </c>
      <c r="P24">
        <v>2.1198924641064321E-3</v>
      </c>
      <c r="Q24">
        <v>1.8012729175668429E-2</v>
      </c>
      <c r="R24">
        <v>-4.0748334152560878E-2</v>
      </c>
      <c r="S24">
        <v>1.7619703991993557E-3</v>
      </c>
      <c r="T24">
        <v>7.2076406096033024E-2</v>
      </c>
      <c r="U24">
        <v>7.5376222106967178E-2</v>
      </c>
      <c r="V24">
        <v>-2.6339617925369374E-2</v>
      </c>
      <c r="W24">
        <v>4.5269442055259901E-3</v>
      </c>
      <c r="X24">
        <v>4.3605566722438899E-2</v>
      </c>
      <c r="Y24">
        <v>8.720452459717315E-2</v>
      </c>
      <c r="Z24">
        <v>0.11376547842712287</v>
      </c>
      <c r="AA24">
        <v>2.5411066360313483E-2</v>
      </c>
      <c r="AB24">
        <v>9.5144096839310383E-3</v>
      </c>
      <c r="AC24">
        <v>-2.7533790249542583E-2</v>
      </c>
      <c r="AD24">
        <v>0.10754998458253273</v>
      </c>
      <c r="AE24">
        <v>9.8968804057832815E-2</v>
      </c>
      <c r="AF24">
        <v>-4.6425165827723103E-2</v>
      </c>
      <c r="AG24">
        <v>4.6118137465057579E-2</v>
      </c>
      <c r="AH24">
        <v>1.7278177952781054E-2</v>
      </c>
      <c r="AI24">
        <v>8.260034295031915E-3</v>
      </c>
      <c r="AJ24">
        <v>5.1580242083344163E-2</v>
      </c>
      <c r="AK24">
        <v>-1.9296237186538223E-3</v>
      </c>
      <c r="AL24">
        <v>7.5462903104750123E-2</v>
      </c>
      <c r="AM24">
        <v>9.7318830597194261E-2</v>
      </c>
      <c r="AN24">
        <v>-2.2953120916652303E-2</v>
      </c>
      <c r="AO24">
        <v>-4.3970094351423183E-3</v>
      </c>
      <c r="AP24">
        <v>1.3145800737058275E-2</v>
      </c>
      <c r="AQ24">
        <v>8.048804458998747E-2</v>
      </c>
      <c r="AR24">
        <v>-8.5934096804114318E-3</v>
      </c>
      <c r="AS24">
        <v>7.7740661710321152E-3</v>
      </c>
      <c r="AT24">
        <v>-1.7268780222192193E-2</v>
      </c>
      <c r="AU24">
        <v>1.6841214819731831E-2</v>
      </c>
      <c r="AV24">
        <v>9.2173152072162035E-2</v>
      </c>
    </row>
    <row r="25" spans="1:48" ht="15" x14ac:dyDescent="0.2">
      <c r="A25" s="2">
        <v>1</v>
      </c>
      <c r="B25" s="2">
        <v>1420</v>
      </c>
      <c r="C25" s="2">
        <v>42</v>
      </c>
      <c r="D25" s="2">
        <v>105752</v>
      </c>
      <c r="F25">
        <v>-4.9436860821810091E-2</v>
      </c>
      <c r="G25">
        <v>-3.298254985957148E-6</v>
      </c>
      <c r="H25">
        <v>2.2817786058338865E-3</v>
      </c>
      <c r="I25" s="28">
        <v>102930.31639313567</v>
      </c>
      <c r="J25">
        <v>102930.31639313509</v>
      </c>
      <c r="K25">
        <f t="shared" si="0"/>
        <v>5.8207660913467407E-10</v>
      </c>
      <c r="M25">
        <v>5.391040985584869E-2</v>
      </c>
      <c r="N25">
        <v>-1.8892450481996642E-3</v>
      </c>
      <c r="O25">
        <v>4.8354995955920396E-2</v>
      </c>
      <c r="P25">
        <v>2.4446005537132755E-2</v>
      </c>
      <c r="Q25">
        <v>3.9223171174608176E-2</v>
      </c>
      <c r="R25">
        <v>0.11008659965856543</v>
      </c>
      <c r="S25">
        <v>8.0335587397416086E-2</v>
      </c>
      <c r="T25">
        <v>-5.6866449217510426E-2</v>
      </c>
      <c r="U25">
        <v>-9.2091175855019969E-3</v>
      </c>
      <c r="V25">
        <v>6.2909874331326734E-2</v>
      </c>
      <c r="W25">
        <v>6.4658847206903361E-2</v>
      </c>
      <c r="X25">
        <v>7.841401893849978E-3</v>
      </c>
      <c r="Y25">
        <v>-2.057826442805924E-2</v>
      </c>
      <c r="Z25">
        <v>-5.6281771506639322E-2</v>
      </c>
      <c r="AA25">
        <v>3.4294868335150122E-2</v>
      </c>
      <c r="AB25">
        <v>6.9064110391992561E-2</v>
      </c>
      <c r="AC25">
        <v>0.10253029540932757</v>
      </c>
      <c r="AD25">
        <v>-6.4729907428015696E-2</v>
      </c>
      <c r="AE25">
        <v>-4.6425165827723214E-2</v>
      </c>
      <c r="AF25">
        <v>0.11542612786539229</v>
      </c>
      <c r="AG25">
        <v>7.1024765463796671E-3</v>
      </c>
      <c r="AH25">
        <v>3.1548651069402578E-2</v>
      </c>
      <c r="AI25">
        <v>4.4660369218568752E-2</v>
      </c>
      <c r="AJ25">
        <v>1.0817649302565367E-2</v>
      </c>
      <c r="AK25">
        <v>4.490454381140295E-2</v>
      </c>
      <c r="AL25">
        <v>-4.7219327662728079E-2</v>
      </c>
      <c r="AM25">
        <v>-9.0562112608338075E-3</v>
      </c>
      <c r="AN25">
        <v>7.2556995886109116E-2</v>
      </c>
      <c r="AO25">
        <v>6.3062780655994966E-2</v>
      </c>
      <c r="AP25">
        <v>4.0470991726581057E-2</v>
      </c>
      <c r="AQ25">
        <v>-4.8697178357668694E-2</v>
      </c>
      <c r="AR25">
        <v>5.7507366756066616E-2</v>
      </c>
      <c r="AS25">
        <v>7.1594441964638655E-2</v>
      </c>
      <c r="AT25">
        <v>9.0519893056433723E-2</v>
      </c>
      <c r="AU25">
        <v>2.6355627618276263E-2</v>
      </c>
      <c r="AV25">
        <v>-1.323144430295517E-2</v>
      </c>
    </row>
    <row r="26" spans="1:48" ht="15" x14ac:dyDescent="0.2">
      <c r="A26" s="2">
        <v>1</v>
      </c>
      <c r="B26" s="2">
        <v>1475</v>
      </c>
      <c r="C26" s="2">
        <v>27</v>
      </c>
      <c r="D26" s="2">
        <v>93224</v>
      </c>
      <c r="F26">
        <v>0.18506925901726312</v>
      </c>
      <c r="G26">
        <v>-2.1417418480936321E-5</v>
      </c>
      <c r="H26">
        <v>-3.508340222450371E-3</v>
      </c>
      <c r="I26" s="28">
        <v>92070.549410834123</v>
      </c>
      <c r="J26">
        <v>92070.549410833861</v>
      </c>
      <c r="K26">
        <f t="shared" si="0"/>
        <v>2.6193447411060333E-10</v>
      </c>
      <c r="M26">
        <v>2.1037617511622322E-2</v>
      </c>
      <c r="N26">
        <v>3.2913785253484984E-2</v>
      </c>
      <c r="O26">
        <v>2.1458554340493416E-2</v>
      </c>
      <c r="P26">
        <v>2.5717243057266664E-2</v>
      </c>
      <c r="Q26">
        <v>2.5070396694957683E-2</v>
      </c>
      <c r="R26">
        <v>8.4775968091280185E-3</v>
      </c>
      <c r="S26">
        <v>1.7227008136430369E-2</v>
      </c>
      <c r="T26">
        <v>4.5009673059363868E-2</v>
      </c>
      <c r="U26">
        <v>3.8130332020326493E-2</v>
      </c>
      <c r="V26">
        <v>1.7054223865452994E-2</v>
      </c>
      <c r="W26">
        <v>1.987480297140469E-2</v>
      </c>
      <c r="X26">
        <v>3.2375574051120515E-2</v>
      </c>
      <c r="Y26">
        <v>4.1032403773512499E-2</v>
      </c>
      <c r="Z26">
        <v>4.9088098054570747E-2</v>
      </c>
      <c r="AA26">
        <v>2.6555376989714358E-2</v>
      </c>
      <c r="AB26">
        <v>1.9706918188681685E-2</v>
      </c>
      <c r="AC26">
        <v>1.0941453306345189E-2</v>
      </c>
      <c r="AD26">
        <v>4.9744808502492195E-2</v>
      </c>
      <c r="AE26">
        <v>4.6118137465057385E-2</v>
      </c>
      <c r="AF26">
        <v>7.1024765463794381E-3</v>
      </c>
      <c r="AG26">
        <v>3.2738486129276712E-2</v>
      </c>
      <c r="AH26">
        <v>2.6157908057362692E-2</v>
      </c>
      <c r="AI26">
        <v>2.3273114731274414E-2</v>
      </c>
      <c r="AJ26">
        <v>3.2722432574242566E-2</v>
      </c>
      <c r="AK26">
        <v>2.2217710478937697E-2</v>
      </c>
      <c r="AL26">
        <v>4.388882971482698E-2</v>
      </c>
      <c r="AM26">
        <v>4.030039014777842E-2</v>
      </c>
      <c r="AN26">
        <v>1.5933380520916113E-2</v>
      </c>
      <c r="AO26">
        <v>1.9224281992904921E-2</v>
      </c>
      <c r="AP26">
        <v>2.4395182947874905E-2</v>
      </c>
      <c r="AQ26">
        <v>4.4614653871139373E-2</v>
      </c>
      <c r="AR26">
        <v>1.9645218821776014E-2</v>
      </c>
      <c r="AS26">
        <v>1.9150203687155878E-2</v>
      </c>
      <c r="AT26">
        <v>1.3784275436752702E-2</v>
      </c>
      <c r="AU26">
        <v>2.6899785768709231E-2</v>
      </c>
      <c r="AV26">
        <v>4.0417664521271796E-2</v>
      </c>
    </row>
    <row r="27" spans="1:48" ht="15" x14ac:dyDescent="0.2">
      <c r="A27" s="2">
        <v>1</v>
      </c>
      <c r="B27" s="2">
        <v>1118</v>
      </c>
      <c r="C27" s="2">
        <v>34</v>
      </c>
      <c r="D27" s="2">
        <v>75398</v>
      </c>
      <c r="F27">
        <v>0.49151725553149728</v>
      </c>
      <c r="G27">
        <v>-2.6580908458525757E-4</v>
      </c>
      <c r="H27">
        <v>-2.1336236361473668E-3</v>
      </c>
      <c r="I27" s="28">
        <v>82713.380760230997</v>
      </c>
      <c r="J27">
        <v>82713.380760230328</v>
      </c>
      <c r="K27">
        <f t="shared" si="0"/>
        <v>6.6938810050487518E-10</v>
      </c>
      <c r="M27">
        <v>3.3930420824966043E-2</v>
      </c>
      <c r="N27">
        <v>4.2764269533783143E-2</v>
      </c>
      <c r="O27">
        <v>4.1460078807150101E-2</v>
      </c>
      <c r="P27">
        <v>5.2494017680464647E-2</v>
      </c>
      <c r="Q27">
        <v>2.833600681310653E-2</v>
      </c>
      <c r="R27">
        <v>3.0309485279901655E-2</v>
      </c>
      <c r="S27">
        <v>1.3907744092429924E-2</v>
      </c>
      <c r="T27">
        <v>4.8020216225914548E-2</v>
      </c>
      <c r="U27">
        <v>1.1970601543848047E-2</v>
      </c>
      <c r="V27">
        <v>5.0566420609434233E-2</v>
      </c>
      <c r="W27">
        <v>2.2405024059776242E-2</v>
      </c>
      <c r="X27">
        <v>2.783690202193715E-2</v>
      </c>
      <c r="Y27">
        <v>9.5582441911078314E-3</v>
      </c>
      <c r="Z27">
        <v>1.1221944357094005E-2</v>
      </c>
      <c r="AA27">
        <v>2.5307890015263047E-2</v>
      </c>
      <c r="AB27">
        <v>1.4985323121360639E-2</v>
      </c>
      <c r="AC27">
        <v>2.4033337596677806E-2</v>
      </c>
      <c r="AD27">
        <v>2.2527427034746916E-2</v>
      </c>
      <c r="AE27">
        <v>1.7278177952780957E-2</v>
      </c>
      <c r="AF27">
        <v>3.1548651069402293E-2</v>
      </c>
      <c r="AG27">
        <v>2.6157908057362747E-2</v>
      </c>
      <c r="AH27">
        <v>3.4318619283238316E-2</v>
      </c>
      <c r="AI27">
        <v>3.3065108984278085E-2</v>
      </c>
      <c r="AJ27">
        <v>1.8804181345208212E-2</v>
      </c>
      <c r="AK27">
        <v>4.178994993845541E-2</v>
      </c>
      <c r="AL27">
        <v>3.8349744695328647E-2</v>
      </c>
      <c r="AM27">
        <v>-7.2900227816031088E-3</v>
      </c>
      <c r="AN27">
        <v>4.0895949078848332E-2</v>
      </c>
      <c r="AO27">
        <v>3.1305796283983056E-2</v>
      </c>
      <c r="AP27">
        <v>3.1715986151009026E-2</v>
      </c>
      <c r="AQ27">
        <v>3.4991756766179848E-2</v>
      </c>
      <c r="AR27">
        <v>3.8835454266167115E-2</v>
      </c>
      <c r="AS27">
        <v>1.474341762507006E-2</v>
      </c>
      <c r="AT27">
        <v>2.3431922661034117E-2</v>
      </c>
      <c r="AU27">
        <v>3.8314358066244059E-2</v>
      </c>
      <c r="AV27">
        <v>1.0768674805880507E-4</v>
      </c>
    </row>
    <row r="28" spans="1:48" ht="15" x14ac:dyDescent="0.2">
      <c r="A28" s="2">
        <v>1</v>
      </c>
      <c r="B28" s="2">
        <v>1433</v>
      </c>
      <c r="C28" s="2">
        <v>58</v>
      </c>
      <c r="D28" s="2">
        <v>113137</v>
      </c>
      <c r="F28">
        <v>-0.38953155089805636</v>
      </c>
      <c r="G28">
        <v>7.0719158861831227E-5</v>
      </c>
      <c r="H28">
        <v>8.7450058151413001E-3</v>
      </c>
      <c r="I28" s="28">
        <v>117634.17637255017</v>
      </c>
      <c r="J28">
        <v>117634.17637255014</v>
      </c>
      <c r="K28">
        <f t="shared" si="0"/>
        <v>0</v>
      </c>
      <c r="M28">
        <v>3.6406871805158648E-2</v>
      </c>
      <c r="N28">
        <v>3.3692073279653012E-2</v>
      </c>
      <c r="O28">
        <v>4.0891754024421925E-2</v>
      </c>
      <c r="P28">
        <v>4.4911755179883342E-2</v>
      </c>
      <c r="Q28">
        <v>3.0029420874866833E-2</v>
      </c>
      <c r="R28">
        <v>4.2910084631961901E-2</v>
      </c>
      <c r="S28">
        <v>2.6366768470080661E-2</v>
      </c>
      <c r="T28">
        <v>2.8552028712200486E-2</v>
      </c>
      <c r="U28">
        <v>1.0488445294110207E-2</v>
      </c>
      <c r="V28">
        <v>4.975897038453661E-2</v>
      </c>
      <c r="W28">
        <v>2.9905366333829647E-2</v>
      </c>
      <c r="X28">
        <v>2.4593270065374512E-2</v>
      </c>
      <c r="Y28">
        <v>6.9233567330211215E-3</v>
      </c>
      <c r="Z28">
        <v>2.3342190798717327E-3</v>
      </c>
      <c r="AA28">
        <v>2.7066513267286818E-2</v>
      </c>
      <c r="AB28">
        <v>2.5312951801439755E-2</v>
      </c>
      <c r="AC28">
        <v>3.7199334043055129E-2</v>
      </c>
      <c r="AD28">
        <v>9.0507891774539925E-3</v>
      </c>
      <c r="AE28">
        <v>8.2600342950317485E-3</v>
      </c>
      <c r="AF28">
        <v>4.466036921856846E-2</v>
      </c>
      <c r="AG28">
        <v>2.3273114731274455E-2</v>
      </c>
      <c r="AH28">
        <v>3.3065108984278085E-2</v>
      </c>
      <c r="AI28">
        <v>3.4290977353921587E-2</v>
      </c>
      <c r="AJ28">
        <v>1.8616180811008576E-2</v>
      </c>
      <c r="AK28">
        <v>4.0569157085042051E-2</v>
      </c>
      <c r="AL28">
        <v>2.3198626873968953E-2</v>
      </c>
      <c r="AM28">
        <v>-3.2590307264788732E-3</v>
      </c>
      <c r="AN28">
        <v>4.4405568546305091E-2</v>
      </c>
      <c r="AO28">
        <v>3.6011494363947544E-2</v>
      </c>
      <c r="AP28">
        <v>3.2648225080441649E-2</v>
      </c>
      <c r="AQ28">
        <v>2.0558316205768819E-2</v>
      </c>
      <c r="AR28">
        <v>4.0496376583210807E-2</v>
      </c>
      <c r="AS28">
        <v>2.5549522890318317E-2</v>
      </c>
      <c r="AT28">
        <v>3.4825362040314181E-2</v>
      </c>
      <c r="AU28">
        <v>3.5081732236343824E-2</v>
      </c>
      <c r="AV28">
        <v>1.3548902685363573E-3</v>
      </c>
    </row>
    <row r="29" spans="1:48" ht="15" x14ac:dyDescent="0.2">
      <c r="A29" s="2">
        <v>1</v>
      </c>
      <c r="B29" s="2">
        <v>1589</v>
      </c>
      <c r="C29" s="2">
        <v>26</v>
      </c>
      <c r="D29" s="2">
        <v>85609</v>
      </c>
      <c r="F29">
        <v>6.2214403266742213E-2</v>
      </c>
      <c r="G29">
        <v>6.157227135889011E-5</v>
      </c>
      <c r="H29">
        <v>-3.4523469723614607E-3</v>
      </c>
      <c r="I29" s="28">
        <v>96150.080870782185</v>
      </c>
      <c r="J29">
        <v>96150.080870782287</v>
      </c>
      <c r="K29">
        <f t="shared" si="0"/>
        <v>0</v>
      </c>
      <c r="M29">
        <v>1.6222261535652344E-2</v>
      </c>
      <c r="N29">
        <v>1.2499759345403642E-2</v>
      </c>
      <c r="O29">
        <v>7.2567616066286922E-3</v>
      </c>
      <c r="P29">
        <v>-3.7068669994365297E-3</v>
      </c>
      <c r="Q29">
        <v>2.5478007903440208E-2</v>
      </c>
      <c r="R29">
        <v>1.3155498243160646E-2</v>
      </c>
      <c r="S29">
        <v>3.8456256461476782E-2</v>
      </c>
      <c r="T29">
        <v>1.32880422870474E-2</v>
      </c>
      <c r="U29">
        <v>5.3307913851537027E-2</v>
      </c>
      <c r="V29">
        <v>-6.5196646580095094E-3</v>
      </c>
      <c r="W29">
        <v>2.9635879751835258E-2</v>
      </c>
      <c r="X29">
        <v>3.0450548733366674E-2</v>
      </c>
      <c r="Y29">
        <v>5.7993506497685206E-2</v>
      </c>
      <c r="Z29">
        <v>6.0766725096426714E-2</v>
      </c>
      <c r="AA29">
        <v>3.0071249409981599E-2</v>
      </c>
      <c r="AB29">
        <v>3.8617870955788683E-2</v>
      </c>
      <c r="AC29">
        <v>2.2308998706383858E-2</v>
      </c>
      <c r="AD29">
        <v>4.7320124330384211E-2</v>
      </c>
      <c r="AE29">
        <v>5.1580242083343934E-2</v>
      </c>
      <c r="AF29">
        <v>1.0817649302565492E-2</v>
      </c>
      <c r="AG29">
        <v>3.2722432574242684E-2</v>
      </c>
      <c r="AH29">
        <v>1.8804181345208323E-2</v>
      </c>
      <c r="AI29">
        <v>1.861618081100877E-2</v>
      </c>
      <c r="AJ29">
        <v>4.1714318543153994E-2</v>
      </c>
      <c r="AK29">
        <v>7.3062354314180483E-3</v>
      </c>
      <c r="AL29">
        <v>2.4456162702241963E-2</v>
      </c>
      <c r="AM29">
        <v>7.8179898921678731E-2</v>
      </c>
      <c r="AN29">
        <v>4.6484557571850535E-3</v>
      </c>
      <c r="AO29">
        <v>1.8352320412132195E-2</v>
      </c>
      <c r="AP29">
        <v>2.0937538476674136E-2</v>
      </c>
      <c r="AQ29">
        <v>2.8999930383993996E-2</v>
      </c>
      <c r="AR29">
        <v>9.3868204831085433E-3</v>
      </c>
      <c r="AS29">
        <v>3.8581590150943153E-2</v>
      </c>
      <c r="AT29">
        <v>2.4742497041571769E-2</v>
      </c>
      <c r="AU29">
        <v>1.4356063058049047E-2</v>
      </c>
      <c r="AV29">
        <v>6.9194609462739337E-2</v>
      </c>
    </row>
    <row r="30" spans="1:48" ht="15" x14ac:dyDescent="0.2">
      <c r="A30" s="2">
        <v>1</v>
      </c>
      <c r="B30" s="2">
        <v>1585</v>
      </c>
      <c r="C30" s="2">
        <v>32</v>
      </c>
      <c r="D30" s="2">
        <v>98498</v>
      </c>
      <c r="F30">
        <v>-5.4181350535801753E-2</v>
      </c>
      <c r="G30">
        <v>8.2556106666043471E-5</v>
      </c>
      <c r="H30">
        <v>-1.0641904885201892E-3</v>
      </c>
      <c r="I30" s="28">
        <v>101277.64282978597</v>
      </c>
      <c r="J30">
        <v>101277.64282978587</v>
      </c>
      <c r="K30">
        <f t="shared" si="0"/>
        <v>0</v>
      </c>
      <c r="M30">
        <v>4.3349305079140629E-2</v>
      </c>
      <c r="N30">
        <v>5.5827427236680133E-2</v>
      </c>
      <c r="O30">
        <v>5.8432119474507979E-2</v>
      </c>
      <c r="P30">
        <v>7.8865172081686252E-2</v>
      </c>
      <c r="Q30">
        <v>3.0151223510095637E-2</v>
      </c>
      <c r="R30">
        <v>4.1760299703128154E-2</v>
      </c>
      <c r="S30">
        <v>4.4750197835111694E-3</v>
      </c>
      <c r="T30">
        <v>6.0946190253623911E-2</v>
      </c>
      <c r="U30">
        <v>-9.0360902459014625E-3</v>
      </c>
      <c r="V30">
        <v>7.8925307928705876E-2</v>
      </c>
      <c r="W30">
        <v>2.0500200592039747E-2</v>
      </c>
      <c r="X30">
        <v>2.5790302956831018E-2</v>
      </c>
      <c r="Y30">
        <v>-1.5260326207007541E-2</v>
      </c>
      <c r="Z30">
        <v>-1.5577471075798432E-2</v>
      </c>
      <c r="AA30">
        <v>2.3327299831523318E-2</v>
      </c>
      <c r="AB30">
        <v>5.5244732890770698E-3</v>
      </c>
      <c r="AC30">
        <v>2.789827816117417E-2</v>
      </c>
      <c r="AD30">
        <v>7.0574592264930902E-3</v>
      </c>
      <c r="AE30">
        <v>-1.9296237186537668E-3</v>
      </c>
      <c r="AF30">
        <v>4.4904543811402603E-2</v>
      </c>
      <c r="AG30">
        <v>2.2217710478937835E-2</v>
      </c>
      <c r="AH30">
        <v>4.1789949938455445E-2</v>
      </c>
      <c r="AI30">
        <v>4.0569157085042079E-2</v>
      </c>
      <c r="AJ30">
        <v>7.3062354314179789E-3</v>
      </c>
      <c r="AK30">
        <v>5.8753380751722026E-2</v>
      </c>
      <c r="AL30">
        <v>4.1841017592263705E-2</v>
      </c>
      <c r="AM30">
        <v>-4.9105634568040152E-2</v>
      </c>
      <c r="AN30">
        <v>5.982013526734567E-2</v>
      </c>
      <c r="AO30">
        <v>3.8855763606567173E-2</v>
      </c>
      <c r="AP30">
        <v>3.7317825884362957E-2</v>
      </c>
      <c r="AQ30">
        <v>3.4695832636477353E-2</v>
      </c>
      <c r="AR30">
        <v>5.3938578001934551E-2</v>
      </c>
      <c r="AS30">
        <v>5.288881685786756E-3</v>
      </c>
      <c r="AT30">
        <v>2.5375139188846846E-2</v>
      </c>
      <c r="AU30">
        <v>4.9556240030188978E-2</v>
      </c>
      <c r="AV30">
        <v>-3.4151324683558415E-2</v>
      </c>
    </row>
    <row r="31" spans="1:48" ht="15" x14ac:dyDescent="0.2">
      <c r="A31" s="2">
        <v>1</v>
      </c>
      <c r="B31" s="2">
        <v>1493</v>
      </c>
      <c r="C31" s="2">
        <v>33</v>
      </c>
      <c r="D31" s="2">
        <v>101803</v>
      </c>
      <c r="F31">
        <v>4.105946471071209E-2</v>
      </c>
      <c r="G31">
        <v>1.6355068937414766E-5</v>
      </c>
      <c r="H31">
        <v>-1.0320505744087424E-3</v>
      </c>
      <c r="I31" s="28">
        <v>98155.912128383061</v>
      </c>
      <c r="J31">
        <v>98155.91212838341</v>
      </c>
      <c r="K31">
        <f t="shared" si="0"/>
        <v>-3.4924596548080444E-10</v>
      </c>
      <c r="M31">
        <v>1.6294741634217499E-2</v>
      </c>
      <c r="N31">
        <v>8.834330547575292E-2</v>
      </c>
      <c r="O31">
        <v>3.7853881323484564E-2</v>
      </c>
      <c r="P31">
        <v>8.4406225923231187E-2</v>
      </c>
      <c r="Q31">
        <v>1.8126801388453073E-2</v>
      </c>
      <c r="R31">
        <v>-4.483419686092642E-2</v>
      </c>
      <c r="S31">
        <v>-5.2089702698846774E-2</v>
      </c>
      <c r="T31">
        <v>0.15187167669162949</v>
      </c>
      <c r="U31">
        <v>2.8673353258279702E-2</v>
      </c>
      <c r="V31">
        <v>4.3744586941152089E-2</v>
      </c>
      <c r="W31">
        <v>-1.8834963287828313E-2</v>
      </c>
      <c r="X31">
        <v>4.6819880604730288E-2</v>
      </c>
      <c r="Y31">
        <v>3.4241042115639483E-2</v>
      </c>
      <c r="Z31">
        <v>7.1712972082695517E-2</v>
      </c>
      <c r="AA31">
        <v>1.6251835877425666E-2</v>
      </c>
      <c r="AB31">
        <v>-3.9065057554169114E-2</v>
      </c>
      <c r="AC31">
        <v>-5.1242218728833847E-2</v>
      </c>
      <c r="AD31">
        <v>0.10418458615888876</v>
      </c>
      <c r="AE31">
        <v>7.5462903104750331E-2</v>
      </c>
      <c r="AF31">
        <v>-4.7219327662728461E-2</v>
      </c>
      <c r="AG31">
        <v>4.388882971482716E-2</v>
      </c>
      <c r="AH31">
        <v>3.8349744695328591E-2</v>
      </c>
      <c r="AI31">
        <v>2.3198626873968897E-2</v>
      </c>
      <c r="AJ31">
        <v>2.4456162702242129E-2</v>
      </c>
      <c r="AK31">
        <v>4.1841017592263455E-2</v>
      </c>
      <c r="AL31">
        <v>0.12179949533616884</v>
      </c>
      <c r="AM31">
        <v>-1.3137333575724108E-2</v>
      </c>
      <c r="AN31">
        <v>1.3672405585691438E-2</v>
      </c>
      <c r="AO31">
        <v>1.9339001071482786E-3</v>
      </c>
      <c r="AP31">
        <v>2.4254712252844604E-2</v>
      </c>
      <c r="AQ31">
        <v>0.11593739355636259</v>
      </c>
      <c r="AR31">
        <v>2.3493039796415351E-2</v>
      </c>
      <c r="AS31">
        <v>-4.1988957484606959E-2</v>
      </c>
      <c r="AT31">
        <v>-4.114862447405937E-2</v>
      </c>
      <c r="AU31">
        <v>5.1920309928107325E-2</v>
      </c>
      <c r="AV31">
        <v>6.826951606031445E-3</v>
      </c>
    </row>
    <row r="32" spans="1:48" ht="15" x14ac:dyDescent="0.2">
      <c r="A32" s="2">
        <v>1</v>
      </c>
      <c r="B32" s="2">
        <v>1124</v>
      </c>
      <c r="C32" s="2">
        <v>36</v>
      </c>
      <c r="D32" s="2">
        <v>88371</v>
      </c>
      <c r="F32">
        <v>0.44351399076264708</v>
      </c>
      <c r="G32">
        <v>-2.5321825544580713E-4</v>
      </c>
      <c r="H32">
        <v>-1.3081937534668263E-3</v>
      </c>
      <c r="I32" s="28">
        <v>84741.834999414641</v>
      </c>
      <c r="J32">
        <v>84741.834999413521</v>
      </c>
      <c r="K32">
        <f t="shared" si="0"/>
        <v>1.1204974725842476E-9</v>
      </c>
      <c r="M32">
        <v>-9.599585140317779E-3</v>
      </c>
      <c r="N32">
        <v>-4.5122982280367319E-2</v>
      </c>
      <c r="O32">
        <v>-4.8044847185112732E-2</v>
      </c>
      <c r="P32">
        <v>-0.10131696270716645</v>
      </c>
      <c r="Q32">
        <v>2.2622390924635971E-2</v>
      </c>
      <c r="R32">
        <v>-1.5134311463432804E-3</v>
      </c>
      <c r="S32">
        <v>9.0367764129639316E-2</v>
      </c>
      <c r="T32">
        <v>-6.2024861248344998E-2</v>
      </c>
      <c r="U32">
        <v>0.11794465510112256</v>
      </c>
      <c r="V32">
        <v>-9.8676183945552942E-2</v>
      </c>
      <c r="W32">
        <v>4.8810859094923831E-2</v>
      </c>
      <c r="X32">
        <v>3.1343226856051565E-2</v>
      </c>
      <c r="Y32">
        <v>0.13281805785351736</v>
      </c>
      <c r="Z32">
        <v>0.13102590899824584</v>
      </c>
      <c r="AA32">
        <v>3.9475930125162095E-2</v>
      </c>
      <c r="AB32">
        <v>8.6902525345409598E-2</v>
      </c>
      <c r="AC32">
        <v>3.2900838843327285E-2</v>
      </c>
      <c r="AD32">
        <v>7.332265635162255E-2</v>
      </c>
      <c r="AE32">
        <v>9.7318830597193595E-2</v>
      </c>
      <c r="AF32">
        <v>-9.0562112608333911E-3</v>
      </c>
      <c r="AG32">
        <v>4.0300390147778309E-2</v>
      </c>
      <c r="AH32">
        <v>-7.2900227816031227E-3</v>
      </c>
      <c r="AI32">
        <v>-3.2590307264787621E-3</v>
      </c>
      <c r="AJ32">
        <v>7.8179898921678592E-2</v>
      </c>
      <c r="AK32">
        <v>-4.9105634568040207E-2</v>
      </c>
      <c r="AL32">
        <v>-1.3137333575724885E-2</v>
      </c>
      <c r="AM32">
        <v>0.21901934102914322</v>
      </c>
      <c r="AN32">
        <v>-4.9788656272932746E-2</v>
      </c>
      <c r="AO32">
        <v>2.3985019824677711E-3</v>
      </c>
      <c r="AP32">
        <v>4.637345182320618E-3</v>
      </c>
      <c r="AQ32">
        <v>4.7769930077287692E-3</v>
      </c>
      <c r="AR32">
        <v>-3.604676006232721E-2</v>
      </c>
      <c r="AS32">
        <v>8.7680436092889724E-2</v>
      </c>
      <c r="AT32">
        <v>3.8392763350824366E-2</v>
      </c>
      <c r="AU32">
        <v>-2.7255204972049807E-2</v>
      </c>
      <c r="AV32">
        <v>0.18099839393751926</v>
      </c>
    </row>
    <row r="33" spans="1:48" ht="15" x14ac:dyDescent="0.2">
      <c r="A33" s="2">
        <v>1</v>
      </c>
      <c r="B33" s="2">
        <v>1536</v>
      </c>
      <c r="C33" s="2">
        <v>28</v>
      </c>
      <c r="D33" s="2">
        <v>102419</v>
      </c>
      <c r="F33">
        <v>8.826697439500153E-2</v>
      </c>
      <c r="G33">
        <v>2.9138988018310047E-5</v>
      </c>
      <c r="H33">
        <v>-2.8632742118546075E-3</v>
      </c>
      <c r="I33" s="28">
        <v>95609.887621137284</v>
      </c>
      <c r="J33">
        <v>95609.887621137605</v>
      </c>
      <c r="K33">
        <f t="shared" si="0"/>
        <v>-3.2014213502407074E-10</v>
      </c>
      <c r="M33">
        <v>4.9951372744868827E-2</v>
      </c>
      <c r="N33">
        <v>4.1155137493074742E-2</v>
      </c>
      <c r="O33">
        <v>6.0743719337729027E-2</v>
      </c>
      <c r="P33">
        <v>6.969319756608619E-2</v>
      </c>
      <c r="Q33">
        <v>3.3740666272426265E-2</v>
      </c>
      <c r="R33">
        <v>6.8057920300646113E-2</v>
      </c>
      <c r="S33">
        <v>2.6326195051777745E-2</v>
      </c>
      <c r="T33">
        <v>2.6439364638300031E-2</v>
      </c>
      <c r="U33">
        <v>-1.6061326300720324E-2</v>
      </c>
      <c r="V33">
        <v>8.305868022722894E-2</v>
      </c>
      <c r="W33">
        <v>3.4409361704846847E-2</v>
      </c>
      <c r="X33">
        <v>1.9201010679200964E-2</v>
      </c>
      <c r="Y33">
        <v>-2.5244194285722193E-2</v>
      </c>
      <c r="Z33">
        <v>-3.7870809690558283E-2</v>
      </c>
      <c r="AA33">
        <v>2.6281821885473317E-2</v>
      </c>
      <c r="AB33">
        <v>2.330915375519213E-2</v>
      </c>
      <c r="AC33">
        <v>5.375595424032914E-2</v>
      </c>
      <c r="AD33">
        <v>-2.1713075936947379E-2</v>
      </c>
      <c r="AE33">
        <v>-2.2953120916652414E-2</v>
      </c>
      <c r="AF33">
        <v>7.2556995886108713E-2</v>
      </c>
      <c r="AG33">
        <v>1.5933380520916168E-2</v>
      </c>
      <c r="AH33">
        <v>4.0895949078848359E-2</v>
      </c>
      <c r="AI33">
        <v>4.4405568546305091E-2</v>
      </c>
      <c r="AJ33">
        <v>4.6484557571848106E-3</v>
      </c>
      <c r="AK33">
        <v>5.9820135267345684E-2</v>
      </c>
      <c r="AL33">
        <v>1.3672405585691688E-2</v>
      </c>
      <c r="AM33">
        <v>-4.9788656272932968E-2</v>
      </c>
      <c r="AN33">
        <v>7.0291721174620597E-2</v>
      </c>
      <c r="AO33">
        <v>4.9331350255016282E-2</v>
      </c>
      <c r="AP33">
        <v>4.0214354317636924E-2</v>
      </c>
      <c r="AQ33">
        <v>7.137145269122111E-3</v>
      </c>
      <c r="AR33">
        <v>6.0123696847876537E-2</v>
      </c>
      <c r="AS33">
        <v>2.3986448740139915E-2</v>
      </c>
      <c r="AT33">
        <v>4.7471282785458771E-2</v>
      </c>
      <c r="AU33">
        <v>4.5645613526010126E-2</v>
      </c>
      <c r="AV33">
        <v>-3.8626876051919418E-2</v>
      </c>
    </row>
    <row r="34" spans="1:48" ht="15" x14ac:dyDescent="0.2">
      <c r="A34" s="2">
        <v>1</v>
      </c>
      <c r="B34" s="2">
        <v>1678</v>
      </c>
      <c r="C34" s="2">
        <v>41</v>
      </c>
      <c r="D34" s="2">
        <v>117183</v>
      </c>
      <c r="F34">
        <v>-0.35303816350764938</v>
      </c>
      <c r="G34">
        <v>1.8958079412716351E-4</v>
      </c>
      <c r="H34">
        <v>2.9146434761433328E-3</v>
      </c>
      <c r="I34" s="28">
        <v>113279.08918174761</v>
      </c>
      <c r="J34">
        <v>113279.08918174816</v>
      </c>
      <c r="K34">
        <f t="shared" si="0"/>
        <v>-5.5297277867794037E-10</v>
      </c>
      <c r="M34">
        <v>3.9882592479113271E-2</v>
      </c>
      <c r="N34">
        <v>2.0959166256312584E-2</v>
      </c>
      <c r="O34">
        <v>4.0094105206557915E-2</v>
      </c>
      <c r="P34">
        <v>3.4269983249242991E-2</v>
      </c>
      <c r="Q34">
        <v>3.2406142365056831E-2</v>
      </c>
      <c r="R34">
        <v>6.0595136354151813E-2</v>
      </c>
      <c r="S34">
        <v>4.3853118473801078E-2</v>
      </c>
      <c r="T34">
        <v>1.2282567631281827E-3</v>
      </c>
      <c r="U34">
        <v>8.4082259962326433E-3</v>
      </c>
      <c r="V34">
        <v>4.8625706910996186E-2</v>
      </c>
      <c r="W34">
        <v>4.0432162507939795E-2</v>
      </c>
      <c r="X34">
        <v>2.0040804161427062E-2</v>
      </c>
      <c r="Y34">
        <v>3.2252690725486644E-3</v>
      </c>
      <c r="Z34">
        <v>-1.0139781309212004E-2</v>
      </c>
      <c r="AA34">
        <v>2.9534756428022058E-2</v>
      </c>
      <c r="AB34">
        <v>3.9807869247164951E-2</v>
      </c>
      <c r="AC34">
        <v>5.5677925546742724E-2</v>
      </c>
      <c r="AD34">
        <v>-9.863790271378084E-3</v>
      </c>
      <c r="AE34">
        <v>-4.3970094351424571E-3</v>
      </c>
      <c r="AF34">
        <v>6.3062780655994743E-2</v>
      </c>
      <c r="AG34">
        <v>1.9224281992905004E-2</v>
      </c>
      <c r="AH34">
        <v>3.1305796283983139E-2</v>
      </c>
      <c r="AI34">
        <v>3.6011494363947613E-2</v>
      </c>
      <c r="AJ34">
        <v>1.8352320412132028E-2</v>
      </c>
      <c r="AK34">
        <v>3.8855763606567256E-2</v>
      </c>
      <c r="AL34">
        <v>1.9339001071484174E-3</v>
      </c>
      <c r="AM34">
        <v>2.398501982467563E-3</v>
      </c>
      <c r="AN34">
        <v>4.9331350255016393E-2</v>
      </c>
      <c r="AO34">
        <v>4.2615982897231092E-2</v>
      </c>
      <c r="AP34">
        <v>3.3956630595434911E-2</v>
      </c>
      <c r="AQ34">
        <v>3.0085577010430242E-4</v>
      </c>
      <c r="AR34">
        <v>4.2827495624675721E-2</v>
      </c>
      <c r="AS34">
        <v>4.0715986420491429E-2</v>
      </c>
      <c r="AT34">
        <v>5.0816154151584525E-2</v>
      </c>
      <c r="AU34">
        <v>3.0544713527712E-2</v>
      </c>
      <c r="AV34">
        <v>3.1053513499084556E-3</v>
      </c>
    </row>
    <row r="35" spans="1:48" ht="15" x14ac:dyDescent="0.2">
      <c r="A35" s="2">
        <v>1</v>
      </c>
      <c r="B35" s="2">
        <v>1723</v>
      </c>
      <c r="C35" s="2">
        <v>35</v>
      </c>
      <c r="D35" s="2">
        <v>107828</v>
      </c>
      <c r="F35">
        <v>-0.28810493973529994</v>
      </c>
      <c r="G35">
        <v>1.9988490139087858E-4</v>
      </c>
      <c r="H35">
        <v>6.9073516194818538E-4</v>
      </c>
      <c r="I35" s="28">
        <v>109936.51954548908</v>
      </c>
      <c r="J35">
        <v>109936.51954548938</v>
      </c>
      <c r="K35">
        <f t="shared" si="0"/>
        <v>-3.0559021979570389E-10</v>
      </c>
      <c r="M35">
        <v>3.4236347998722404E-2</v>
      </c>
      <c r="N35">
        <v>3.2129906568499116E-2</v>
      </c>
      <c r="O35">
        <v>3.7563151918424041E-2</v>
      </c>
      <c r="P35">
        <v>4.0515470483916766E-2</v>
      </c>
      <c r="Q35">
        <v>2.9470298012528255E-2</v>
      </c>
      <c r="R35">
        <v>3.9160904980235847E-2</v>
      </c>
      <c r="S35">
        <v>2.6810689456557381E-2</v>
      </c>
      <c r="T35">
        <v>2.8221045092456994E-2</v>
      </c>
      <c r="U35">
        <v>1.4861401744134937E-2</v>
      </c>
      <c r="V35">
        <v>4.4180687157249286E-2</v>
      </c>
      <c r="W35">
        <v>2.9417870343012777E-2</v>
      </c>
      <c r="X35">
        <v>2.5378168315471329E-2</v>
      </c>
      <c r="Y35">
        <v>1.2192163044633102E-2</v>
      </c>
      <c r="Z35">
        <v>8.7232071985495624E-3</v>
      </c>
      <c r="AA35">
        <v>2.7259001243274038E-2</v>
      </c>
      <c r="AB35">
        <v>2.6009291078624062E-2</v>
      </c>
      <c r="AC35">
        <v>3.4901862131101566E-2</v>
      </c>
      <c r="AD35">
        <v>1.3705235543633329E-2</v>
      </c>
      <c r="AE35">
        <v>1.3145800737057997E-2</v>
      </c>
      <c r="AF35">
        <v>4.0470991726580648E-2</v>
      </c>
      <c r="AG35">
        <v>2.4395182947874836E-2</v>
      </c>
      <c r="AH35">
        <v>3.1715986151008915E-2</v>
      </c>
      <c r="AI35">
        <v>3.2648225080441559E-2</v>
      </c>
      <c r="AJ35">
        <v>2.0937538476673873E-2</v>
      </c>
      <c r="AK35">
        <v>3.7317825884362825E-2</v>
      </c>
      <c r="AL35">
        <v>2.4254712252844556E-2</v>
      </c>
      <c r="AM35">
        <v>4.6373451823203821E-3</v>
      </c>
      <c r="AN35">
        <v>4.0214354317636855E-2</v>
      </c>
      <c r="AO35">
        <v>3.3956630595434731E-2</v>
      </c>
      <c r="AP35">
        <v>3.1419913678783835E-2</v>
      </c>
      <c r="AQ35">
        <v>2.2288741517651561E-2</v>
      </c>
      <c r="AR35">
        <v>3.7283434515136382E-2</v>
      </c>
      <c r="AS35">
        <v>2.6189196836935623E-2</v>
      </c>
      <c r="AT35">
        <v>3.311747838557174E-2</v>
      </c>
      <c r="AU35">
        <v>3.3207659887016877E-2</v>
      </c>
      <c r="AV35">
        <v>8.0622795156465171E-3</v>
      </c>
    </row>
    <row r="36" spans="1:48" ht="15" x14ac:dyDescent="0.2">
      <c r="A36" s="2">
        <v>1</v>
      </c>
      <c r="B36" s="2">
        <v>1413</v>
      </c>
      <c r="C36" s="2">
        <v>30</v>
      </c>
      <c r="D36" s="2">
        <v>88032</v>
      </c>
      <c r="F36">
        <v>0.20218240167237367</v>
      </c>
      <c r="G36">
        <v>-5.6712733857898991E-5</v>
      </c>
      <c r="H36">
        <v>-2.5546251556216263E-3</v>
      </c>
      <c r="I36" s="28">
        <v>92022.146503391661</v>
      </c>
      <c r="J36">
        <v>92022.146503392054</v>
      </c>
      <c r="K36">
        <f t="shared" si="0"/>
        <v>-3.92901711165905E-10</v>
      </c>
      <c r="M36">
        <v>1.3257089274078288E-2</v>
      </c>
      <c r="N36">
        <v>8.0444131919692755E-2</v>
      </c>
      <c r="O36">
        <v>3.0897558804790184E-2</v>
      </c>
      <c r="P36">
        <v>7.1622992057308238E-2</v>
      </c>
      <c r="Q36">
        <v>1.789982622259749E-2</v>
      </c>
      <c r="R36">
        <v>-4.5700661768556979E-2</v>
      </c>
      <c r="S36">
        <v>-4.4644479474497845E-2</v>
      </c>
      <c r="T36">
        <v>0.14096329497124066</v>
      </c>
      <c r="U36">
        <v>3.6639183921625323E-2</v>
      </c>
      <c r="V36">
        <v>3.2163046684000149E-2</v>
      </c>
      <c r="W36">
        <v>-1.5862406704170454E-2</v>
      </c>
      <c r="X36">
        <v>4.6682502390943889E-2</v>
      </c>
      <c r="Y36">
        <v>4.339187186618651E-2</v>
      </c>
      <c r="Z36">
        <v>7.981319817414495E-2</v>
      </c>
      <c r="AA36">
        <v>1.7562403014676084E-2</v>
      </c>
      <c r="AB36">
        <v>-3.2236784957653253E-2</v>
      </c>
      <c r="AC36">
        <v>-4.8907690738857805E-2</v>
      </c>
      <c r="AD36">
        <v>0.10640051159793566</v>
      </c>
      <c r="AE36">
        <v>8.0488044589987762E-2</v>
      </c>
      <c r="AF36">
        <v>-4.8697178357668888E-2</v>
      </c>
      <c r="AG36">
        <v>4.461465387113963E-2</v>
      </c>
      <c r="AH36">
        <v>3.4991756766179938E-2</v>
      </c>
      <c r="AI36">
        <v>2.0558316205768923E-2</v>
      </c>
      <c r="AJ36">
        <v>2.8999930383994267E-2</v>
      </c>
      <c r="AK36">
        <v>3.4695832636477256E-2</v>
      </c>
      <c r="AL36">
        <v>0.11593739355636262</v>
      </c>
      <c r="AM36">
        <v>4.7769930077295186E-3</v>
      </c>
      <c r="AN36">
        <v>7.1371452691220486E-3</v>
      </c>
      <c r="AO36">
        <v>3.0085577010435793E-4</v>
      </c>
      <c r="AP36">
        <v>2.2288741517651783E-2</v>
      </c>
      <c r="AQ36">
        <v>0.1118016965167541</v>
      </c>
      <c r="AR36">
        <v>1.7941325300816199E-2</v>
      </c>
      <c r="AS36">
        <v>-3.5022185767557168E-2</v>
      </c>
      <c r="AT36">
        <v>-3.8567844741817528E-2</v>
      </c>
      <c r="AU36">
        <v>4.6470783213716831E-2</v>
      </c>
      <c r="AV36">
        <v>2.0898153005766557E-2</v>
      </c>
    </row>
    <row r="37" spans="1:48" ht="15" x14ac:dyDescent="0.2">
      <c r="A37" s="2">
        <v>1</v>
      </c>
      <c r="B37" s="2">
        <v>1390</v>
      </c>
      <c r="C37" s="2">
        <v>54</v>
      </c>
      <c r="D37" s="2">
        <v>117943</v>
      </c>
      <c r="F37">
        <v>-0.25461432792289118</v>
      </c>
      <c r="G37">
        <v>2.1880763517151847E-5</v>
      </c>
      <c r="H37">
        <v>6.9699584093160689E-3</v>
      </c>
      <c r="I37" s="28">
        <v>112227.63955259669</v>
      </c>
      <c r="J37">
        <v>112227.63955259623</v>
      </c>
      <c r="K37">
        <f t="shared" si="0"/>
        <v>4.6566128730773926E-10</v>
      </c>
      <c r="M37">
        <v>4.4350376387687865E-2</v>
      </c>
      <c r="N37">
        <v>4.2646482866728008E-2</v>
      </c>
      <c r="O37">
        <v>5.4375662822209084E-2</v>
      </c>
      <c r="P37">
        <v>6.4758270499010284E-2</v>
      </c>
      <c r="Q37">
        <v>3.1760859007555348E-2</v>
      </c>
      <c r="R37">
        <v>5.4148729747900262E-2</v>
      </c>
      <c r="S37">
        <v>2.0875235148382659E-2</v>
      </c>
      <c r="T37">
        <v>3.5682264730351909E-2</v>
      </c>
      <c r="U37">
        <v>-6.5613339051901198E-3</v>
      </c>
      <c r="V37">
        <v>7.2312921781812797E-2</v>
      </c>
      <c r="W37">
        <v>2.9618406110098264E-2</v>
      </c>
      <c r="X37">
        <v>2.2421076069575677E-2</v>
      </c>
      <c r="Y37">
        <v>-1.336602488557681E-2</v>
      </c>
      <c r="Z37">
        <v>-2.0571008312159605E-2</v>
      </c>
      <c r="AA37">
        <v>2.5772059691681323E-2</v>
      </c>
      <c r="AB37">
        <v>1.9447424735485469E-2</v>
      </c>
      <c r="AC37">
        <v>4.2462520996335337E-2</v>
      </c>
      <c r="AD37">
        <v>-5.5476481543869083E-3</v>
      </c>
      <c r="AE37">
        <v>-8.5934096804116122E-3</v>
      </c>
      <c r="AF37">
        <v>5.7507366756066131E-2</v>
      </c>
      <c r="AG37">
        <v>1.9645218821776E-2</v>
      </c>
      <c r="AH37">
        <v>3.8835454266167024E-2</v>
      </c>
      <c r="AI37">
        <v>4.0496376583210703E-2</v>
      </c>
      <c r="AJ37">
        <v>9.3868204831082658E-3</v>
      </c>
      <c r="AK37">
        <v>5.3938578001934454E-2</v>
      </c>
      <c r="AL37">
        <v>2.3493039796415496E-2</v>
      </c>
      <c r="AM37">
        <v>-3.6046760062327404E-2</v>
      </c>
      <c r="AN37">
        <v>6.0123696847876384E-2</v>
      </c>
      <c r="AO37">
        <v>4.2827495624675527E-2</v>
      </c>
      <c r="AP37">
        <v>3.7283434515136396E-2</v>
      </c>
      <c r="AQ37">
        <v>1.7941325300816144E-2</v>
      </c>
      <c r="AR37">
        <v>5.2852782059196773E-2</v>
      </c>
      <c r="AS37">
        <v>1.9767953603686883E-2</v>
      </c>
      <c r="AT37">
        <v>3.8258853335638471E-2</v>
      </c>
      <c r="AU37">
        <v>4.3542138109235393E-2</v>
      </c>
      <c r="AV37">
        <v>-2.5846639699696305E-2</v>
      </c>
    </row>
    <row r="38" spans="1:48" x14ac:dyDescent="0.2">
      <c r="M38">
        <v>2.9080626414498559E-2</v>
      </c>
      <c r="N38">
        <v>-2.5091763040214793E-2</v>
      </c>
      <c r="O38">
        <v>8.1325935976942348E-3</v>
      </c>
      <c r="P38">
        <v>-3.2034030990189505E-2</v>
      </c>
      <c r="Q38">
        <v>3.3345549348112541E-2</v>
      </c>
      <c r="R38">
        <v>7.1286211940620139E-2</v>
      </c>
      <c r="S38">
        <v>9.1782861736439819E-2</v>
      </c>
      <c r="T38">
        <v>-7.0401572836606863E-2</v>
      </c>
      <c r="U38">
        <v>4.2538283060538279E-2</v>
      </c>
      <c r="V38">
        <v>-4.4261666118595305E-3</v>
      </c>
      <c r="W38">
        <v>6.249327397804029E-2</v>
      </c>
      <c r="X38">
        <v>1.56668178286309E-2</v>
      </c>
      <c r="Y38">
        <v>4.1353080630119915E-2</v>
      </c>
      <c r="Z38">
        <v>1.6020185781315865E-2</v>
      </c>
      <c r="AA38">
        <v>3.7468609153254742E-2</v>
      </c>
      <c r="AB38">
        <v>8.2493402824208834E-2</v>
      </c>
      <c r="AC38">
        <v>8.1428139492176185E-2</v>
      </c>
      <c r="AD38">
        <v>-1.5496653840954222E-2</v>
      </c>
      <c r="AE38">
        <v>7.7740661710314907E-3</v>
      </c>
      <c r="AF38">
        <v>7.1594441964638628E-2</v>
      </c>
      <c r="AG38">
        <v>1.9150203687155753E-2</v>
      </c>
      <c r="AH38">
        <v>1.4743417625070032E-2</v>
      </c>
      <c r="AI38">
        <v>2.5549522890318366E-2</v>
      </c>
      <c r="AJ38">
        <v>3.8581590150942785E-2</v>
      </c>
      <c r="AK38">
        <v>5.2888816857867699E-3</v>
      </c>
      <c r="AL38">
        <v>-4.1988957484607251E-2</v>
      </c>
      <c r="AM38">
        <v>8.7680436092889225E-2</v>
      </c>
      <c r="AN38">
        <v>2.3986448740140109E-2</v>
      </c>
      <c r="AO38">
        <v>4.0715986420491401E-2</v>
      </c>
      <c r="AP38">
        <v>2.6189196836935699E-2</v>
      </c>
      <c r="AQ38">
        <v>-3.5022185767557612E-2</v>
      </c>
      <c r="AR38">
        <v>1.9767953603687077E-2</v>
      </c>
      <c r="AS38">
        <v>8.4578791559607597E-2</v>
      </c>
      <c r="AT38">
        <v>7.5622066438469998E-2</v>
      </c>
      <c r="AU38">
        <v>2.2788028783326114E-3</v>
      </c>
      <c r="AV38">
        <v>6.7869888040847842E-2</v>
      </c>
    </row>
    <row r="39" spans="1:48" x14ac:dyDescent="0.2">
      <c r="M39">
        <v>4.0930713525655957E-2</v>
      </c>
      <c r="N39">
        <v>-1.1421406652914443E-2</v>
      </c>
      <c r="O39">
        <v>2.837341270971017E-2</v>
      </c>
      <c r="P39">
        <v>-2.0647247877993921E-3</v>
      </c>
      <c r="Q39">
        <v>3.5898143019204437E-2</v>
      </c>
      <c r="R39">
        <v>8.7812584894736839E-2</v>
      </c>
      <c r="S39">
        <v>8.3217692691323328E-2</v>
      </c>
      <c r="T39">
        <v>-5.9193898085334457E-2</v>
      </c>
      <c r="U39">
        <v>1.7002618373423137E-2</v>
      </c>
      <c r="V39">
        <v>2.9426009174183861E-2</v>
      </c>
      <c r="W39">
        <v>6.1865456214178882E-2</v>
      </c>
      <c r="X39">
        <v>1.2493885570631854E-2</v>
      </c>
      <c r="Y39">
        <v>1.0988347345857033E-2</v>
      </c>
      <c r="Z39">
        <v>-1.8103767799435712E-2</v>
      </c>
      <c r="AA39">
        <v>3.5480649230582861E-2</v>
      </c>
      <c r="AB39">
        <v>7.3423332523170279E-2</v>
      </c>
      <c r="AC39">
        <v>8.8976446331402587E-2</v>
      </c>
      <c r="AD39">
        <v>-3.7039661474049843E-2</v>
      </c>
      <c r="AE39">
        <v>-1.726878022219263E-2</v>
      </c>
      <c r="AF39">
        <v>9.0519893056433626E-2</v>
      </c>
      <c r="AG39">
        <v>1.3784275436752653E-2</v>
      </c>
      <c r="AH39">
        <v>2.3431922661034166E-2</v>
      </c>
      <c r="AI39">
        <v>3.4825362040314278E-2</v>
      </c>
      <c r="AJ39">
        <v>2.4742497041571436E-2</v>
      </c>
      <c r="AK39">
        <v>2.5375139188846988E-2</v>
      </c>
      <c r="AL39">
        <v>-4.1148624474059377E-2</v>
      </c>
      <c r="AM39">
        <v>3.8392763350823804E-2</v>
      </c>
      <c r="AN39">
        <v>4.7471282785458917E-2</v>
      </c>
      <c r="AO39">
        <v>5.0816154151584525E-2</v>
      </c>
      <c r="AP39">
        <v>3.31174783855719E-2</v>
      </c>
      <c r="AQ39">
        <v>-3.856784474181775E-2</v>
      </c>
      <c r="AR39">
        <v>3.8258853335638734E-2</v>
      </c>
      <c r="AS39">
        <v>7.5622066438469901E-2</v>
      </c>
      <c r="AT39">
        <v>8.0472476029370327E-2</v>
      </c>
      <c r="AU39">
        <v>1.5054480788457038E-2</v>
      </c>
      <c r="AV39">
        <v>2.7034771943223297E-2</v>
      </c>
    </row>
    <row r="40" spans="1:48" x14ac:dyDescent="0.2">
      <c r="A40">
        <v>2.5828393544233652</v>
      </c>
      <c r="B40">
        <v>-1.2551836592730465E-3</v>
      </c>
      <c r="C40">
        <v>-2.0236081406605919E-2</v>
      </c>
      <c r="M40">
        <v>3.5708124440796712E-2</v>
      </c>
      <c r="N40">
        <v>5.5279121885804208E-2</v>
      </c>
      <c r="O40">
        <v>4.8705549022320258E-2</v>
      </c>
      <c r="P40">
        <v>6.9134893871244774E-2</v>
      </c>
      <c r="Q40">
        <v>2.7701420438768262E-2</v>
      </c>
      <c r="R40">
        <v>2.4765118938238365E-2</v>
      </c>
      <c r="S40">
        <v>1.2371899173231615E-4</v>
      </c>
      <c r="T40">
        <v>6.8833465277842051E-2</v>
      </c>
      <c r="U40">
        <v>4.7588503759830175E-3</v>
      </c>
      <c r="V40">
        <v>6.2558768875744644E-2</v>
      </c>
      <c r="W40">
        <v>1.5616503863003436E-2</v>
      </c>
      <c r="X40">
        <v>2.9624549125904481E-2</v>
      </c>
      <c r="Y40">
        <v>1.7479712174820194E-3</v>
      </c>
      <c r="Z40">
        <v>7.6435434066873253E-3</v>
      </c>
      <c r="AA40">
        <v>2.3102584732246106E-2</v>
      </c>
      <c r="AB40">
        <v>2.902642950769363E-3</v>
      </c>
      <c r="AC40">
        <v>1.5000320186615068E-2</v>
      </c>
      <c r="AD40">
        <v>2.7168036645901616E-2</v>
      </c>
      <c r="AE40">
        <v>1.6841214819731679E-2</v>
      </c>
      <c r="AF40">
        <v>2.6355627618275715E-2</v>
      </c>
      <c r="AG40">
        <v>2.6899785768709161E-2</v>
      </c>
      <c r="AH40">
        <v>3.8314358066243892E-2</v>
      </c>
      <c r="AI40">
        <v>3.5081732236343643E-2</v>
      </c>
      <c r="AJ40">
        <v>1.4356063058048804E-2</v>
      </c>
      <c r="AK40">
        <v>4.9556240030188742E-2</v>
      </c>
      <c r="AL40">
        <v>5.1920309928107325E-2</v>
      </c>
      <c r="AM40">
        <v>-2.7255204972049904E-2</v>
      </c>
      <c r="AN40">
        <v>4.564561352600989E-2</v>
      </c>
      <c r="AO40">
        <v>3.0544713527711723E-2</v>
      </c>
      <c r="AP40">
        <v>3.3207659887016808E-2</v>
      </c>
      <c r="AQ40">
        <v>4.6470783213716643E-2</v>
      </c>
      <c r="AR40">
        <v>4.3542138109235268E-2</v>
      </c>
      <c r="AS40">
        <v>2.2788028783324726E-3</v>
      </c>
      <c r="AT40">
        <v>1.5054480788456781E-2</v>
      </c>
      <c r="AU40">
        <v>4.5408554062513595E-2</v>
      </c>
      <c r="AV40">
        <v>-1.459805679367375E-2</v>
      </c>
    </row>
    <row r="41" spans="1:48" x14ac:dyDescent="0.2">
      <c r="A41">
        <v>-1.2551836592730433E-3</v>
      </c>
      <c r="B41">
        <v>7.631205505089884E-7</v>
      </c>
      <c r="C41">
        <v>4.0060529181981449E-6</v>
      </c>
      <c r="M41">
        <v>-4.871122181196369E-3</v>
      </c>
      <c r="N41">
        <v>-2.4390633696702219E-2</v>
      </c>
      <c r="O41">
        <v>-3.3823113230801061E-2</v>
      </c>
      <c r="P41">
        <v>-7.1626808352196897E-2</v>
      </c>
      <c r="Q41">
        <v>2.2155361678899005E-2</v>
      </c>
      <c r="R41">
        <v>-6.6334588734302813E-3</v>
      </c>
      <c r="S41">
        <v>6.8701357054500201E-2</v>
      </c>
      <c r="T41">
        <v>-2.9620136177301498E-2</v>
      </c>
      <c r="U41">
        <v>0.10281907875235918</v>
      </c>
      <c r="V41">
        <v>-7.5073963835251528E-2</v>
      </c>
      <c r="W41">
        <v>3.8786612410140808E-2</v>
      </c>
      <c r="X41">
        <v>3.3382063821404295E-2</v>
      </c>
      <c r="Y41">
        <v>0.11594940732085671</v>
      </c>
      <c r="Z41">
        <v>0.11965913196611716</v>
      </c>
      <c r="AA41">
        <v>3.5898351625876762E-2</v>
      </c>
      <c r="AB41">
        <v>6.7629199642159743E-2</v>
      </c>
      <c r="AC41">
        <v>2.1071328655696775E-2</v>
      </c>
      <c r="AD41">
        <v>7.6220205009951497E-2</v>
      </c>
      <c r="AE41">
        <v>9.217315207216159E-2</v>
      </c>
      <c r="AF41">
        <v>-1.3231444302954781E-2</v>
      </c>
      <c r="AG41">
        <v>4.0417664521271851E-2</v>
      </c>
      <c r="AH41">
        <v>1.0768674805888834E-4</v>
      </c>
      <c r="AI41">
        <v>1.3548902685365516E-3</v>
      </c>
      <c r="AJ41">
        <v>6.9194609462739337E-2</v>
      </c>
      <c r="AK41">
        <v>-3.4151324683558359E-2</v>
      </c>
      <c r="AL41">
        <v>6.8269516060309177E-3</v>
      </c>
      <c r="AM41">
        <v>0.1809983939375194</v>
      </c>
      <c r="AN41">
        <v>-3.8626876051919112E-2</v>
      </c>
      <c r="AO41">
        <v>3.1053513499086915E-3</v>
      </c>
      <c r="AP41">
        <v>8.0622795156468086E-3</v>
      </c>
      <c r="AQ41">
        <v>2.0898153005765974E-2</v>
      </c>
      <c r="AR41">
        <v>-2.5846639699696E-2</v>
      </c>
      <c r="AS41">
        <v>6.7869888040848425E-2</v>
      </c>
      <c r="AT41">
        <v>2.7034771943223873E-2</v>
      </c>
      <c r="AU41">
        <v>-1.4598056793673542E-2</v>
      </c>
      <c r="AV41">
        <v>0.15217768746901761</v>
      </c>
    </row>
    <row r="42" spans="1:48" x14ac:dyDescent="0.2">
      <c r="A42">
        <v>-2.0236081406606043E-2</v>
      </c>
      <c r="B42">
        <v>4.0060529181982321E-6</v>
      </c>
      <c r="C42">
        <v>4.0069678258567717E-4</v>
      </c>
    </row>
    <row r="45" spans="1:48" x14ac:dyDescent="0.2">
      <c r="C45">
        <v>3996.6782085378654</v>
      </c>
    </row>
    <row r="46" spans="1:48" x14ac:dyDescent="0.2">
      <c r="C46">
        <v>43.536398115726683</v>
      </c>
    </row>
    <row r="47" spans="1:48" x14ac:dyDescent="0.2">
      <c r="C47">
        <v>883.61792524441262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Cross Products</vt:lpstr>
      <vt:lpstr>Regression</vt:lpstr>
      <vt:lpstr>Sheet1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Nagadevara</cp:lastModifiedBy>
  <dcterms:created xsi:type="dcterms:W3CDTF">1997-07-29T13:13:26Z</dcterms:created>
  <dcterms:modified xsi:type="dcterms:W3CDTF">2019-03-15T16:45:46Z</dcterms:modified>
</cp:coreProperties>
</file>