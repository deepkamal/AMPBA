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1/SA/practice/"/>
    </mc:Choice>
  </mc:AlternateContent>
  <xr:revisionPtr revIDLastSave="0" documentId="13_ncr:1_{7B062D86-2C56-CD42-A033-9D45E2ADEB2E}" xr6:coauthVersionLast="46" xr6:coauthVersionMax="46" xr10:uidLastSave="{00000000-0000-0000-0000-000000000000}"/>
  <bookViews>
    <workbookView xWindow="8600" yWindow="520" windowWidth="26420" windowHeight="25080" activeTab="1" xr2:uid="{F50D2C04-7D1F-F94F-809C-07377DF59BD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2" l="1"/>
  <c r="P27" i="2"/>
  <c r="C17" i="2"/>
  <c r="D17" i="2"/>
  <c r="E17" i="2"/>
  <c r="F17" i="2"/>
  <c r="G17" i="2"/>
  <c r="I17" i="2"/>
  <c r="J17" i="2"/>
  <c r="K17" i="2"/>
  <c r="L17" i="2"/>
  <c r="M17" i="2"/>
  <c r="N17" i="2"/>
  <c r="O17" i="2"/>
  <c r="H17" i="2"/>
  <c r="C16" i="2"/>
  <c r="D16" i="2"/>
  <c r="E16" i="2"/>
  <c r="F16" i="2"/>
  <c r="G16" i="2"/>
  <c r="I16" i="2"/>
  <c r="J16" i="2"/>
  <c r="K16" i="2"/>
  <c r="L16" i="2"/>
  <c r="M16" i="2"/>
  <c r="N16" i="2"/>
  <c r="O16" i="2"/>
  <c r="H16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O18" i="2"/>
  <c r="O20" i="2"/>
  <c r="O21" i="2"/>
  <c r="O22" i="2"/>
  <c r="O23" i="2"/>
  <c r="O24" i="2"/>
  <c r="O25" i="2"/>
  <c r="N18" i="2"/>
  <c r="N20" i="2"/>
  <c r="N21" i="2"/>
  <c r="N22" i="2"/>
  <c r="N23" i="2"/>
  <c r="N24" i="2"/>
  <c r="N25" i="2"/>
  <c r="M18" i="2"/>
  <c r="M20" i="2"/>
  <c r="M21" i="2"/>
  <c r="M22" i="2"/>
  <c r="M23" i="2"/>
  <c r="M24" i="2"/>
  <c r="M25" i="2"/>
  <c r="C18" i="2"/>
  <c r="D18" i="2"/>
  <c r="E18" i="2"/>
  <c r="F18" i="2"/>
  <c r="G18" i="2"/>
  <c r="H18" i="2"/>
  <c r="I18" i="2"/>
  <c r="J18" i="2"/>
  <c r="K18" i="2"/>
  <c r="L18" i="2"/>
  <c r="L23" i="2"/>
  <c r="L25" i="2"/>
  <c r="J20" i="2"/>
  <c r="K20" i="2"/>
  <c r="L20" i="2"/>
  <c r="J21" i="2"/>
  <c r="K21" i="2"/>
  <c r="L21" i="2"/>
  <c r="J22" i="2"/>
  <c r="K22" i="2"/>
  <c r="L22" i="2"/>
  <c r="J24" i="2"/>
  <c r="K24" i="2"/>
  <c r="L24" i="2"/>
  <c r="H20" i="2"/>
  <c r="I20" i="2"/>
  <c r="H21" i="2"/>
  <c r="I21" i="2"/>
  <c r="H22" i="2"/>
  <c r="I22" i="2"/>
  <c r="H24" i="2"/>
  <c r="I24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C24" i="2"/>
  <c r="C22" i="2"/>
  <c r="C21" i="2"/>
  <c r="C20" i="2"/>
  <c r="D8" i="1" l="1"/>
  <c r="D7" i="1"/>
  <c r="D6" i="1"/>
  <c r="D5" i="1"/>
  <c r="A3" i="1"/>
  <c r="A4" i="1"/>
</calcChain>
</file>

<file path=xl/sharedStrings.xml><?xml version="1.0" encoding="utf-8"?>
<sst xmlns="http://schemas.openxmlformats.org/spreadsheetml/2006/main" count="70" uniqueCount="48">
  <si>
    <t>T.DIST(x, df,isCummulative)</t>
  </si>
  <si>
    <t>NORM.INV(prob, mean, sd)</t>
  </si>
  <si>
    <t>Excel</t>
  </si>
  <si>
    <t>R</t>
  </si>
  <si>
    <t>NORM(x,mean,sd, isCummulative)</t>
  </si>
  <si>
    <t>T.INV(prob,DF)</t>
  </si>
  <si>
    <t>qt</t>
  </si>
  <si>
    <t>pt</t>
  </si>
  <si>
    <t>qnorm</t>
  </si>
  <si>
    <t>pnorm</t>
  </si>
  <si>
    <t>x_bar</t>
  </si>
  <si>
    <t>mean</t>
  </si>
  <si>
    <t>std dev</t>
  </si>
  <si>
    <t>n</t>
  </si>
  <si>
    <t>p</t>
  </si>
  <si>
    <t>p_hat</t>
  </si>
  <si>
    <t>=</t>
  </si>
  <si>
    <t>4-59</t>
  </si>
  <si>
    <t>P(X=x_bar)</t>
  </si>
  <si>
    <t>P(X&lt;=x_bar)</t>
  </si>
  <si>
    <t>P(X&gt;=x_bar)</t>
  </si>
  <si>
    <t>4-61-1</t>
  </si>
  <si>
    <t>4-61-2</t>
  </si>
  <si>
    <t>4-75</t>
  </si>
  <si>
    <t>prob_%age</t>
  </si>
  <si>
    <t>Prob to Random value</t>
  </si>
  <si>
    <t>4-77</t>
  </si>
  <si>
    <t>4-73</t>
  </si>
  <si>
    <t>x_bar2</t>
  </si>
  <si>
    <t>prob_%age2</t>
  </si>
  <si>
    <t>calculated mean</t>
  </si>
  <si>
    <t>calculated sigma</t>
  </si>
  <si>
    <t>P(x_bar1&lt;X&lt;x_bar2)</t>
  </si>
  <si>
    <t>4-81-1</t>
  </si>
  <si>
    <t>4-81-2</t>
  </si>
  <si>
    <t>4-81-3</t>
  </si>
  <si>
    <t>5-19</t>
  </si>
  <si>
    <t xml:space="preserve">Prob of (X-mu) with sample </t>
  </si>
  <si>
    <t>5-45</t>
  </si>
  <si>
    <t>5-47</t>
  </si>
  <si>
    <t>5-41</t>
  </si>
  <si>
    <t>Sample Error - proportion case (sigma/sqrt(n))</t>
  </si>
  <si>
    <t>Sample Error  - Mean, Sigma case</t>
  </si>
  <si>
    <t>7-49</t>
  </si>
  <si>
    <t>sample_std_dev</t>
  </si>
  <si>
    <t>p_VAL</t>
  </si>
  <si>
    <t>t_STAT</t>
  </si>
  <si>
    <t>z_STAT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</si>
</sst>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DBED-F5B9-8E47-AE2F-8BDF4D558AD6}">
  <dimension ref="A1:X8"/>
  <sheetViews>
    <sheetView topLeftCell="B3" zoomScale="335" workbookViewId="0">
      <selection activeCell="D5" sqref="D5"/>
    </sheetView>
  </sheetViews>
  <sheetFormatPr baseColWidth="10" defaultRowHeight="16" x14ac:dyDescent="0.2"/>
  <cols>
    <col min="3" max="3" width="28.33203125" customWidth="1"/>
    <col min="4" max="4" width="12.83203125" bestFit="1" customWidth="1"/>
  </cols>
  <sheetData>
    <row r="1" spans="1:24" x14ac:dyDescent="0.2">
      <c r="A1">
        <v>26</v>
      </c>
      <c r="B1">
        <v>19</v>
      </c>
      <c r="C1">
        <v>27</v>
      </c>
      <c r="D1">
        <v>30</v>
      </c>
      <c r="E1">
        <v>18</v>
      </c>
      <c r="F1">
        <v>17</v>
      </c>
      <c r="G1">
        <v>21</v>
      </c>
      <c r="H1">
        <v>28</v>
      </c>
      <c r="I1">
        <v>18</v>
      </c>
      <c r="J1">
        <v>26</v>
      </c>
      <c r="K1">
        <v>19</v>
      </c>
      <c r="L1">
        <v>20</v>
      </c>
      <c r="M1">
        <v>23</v>
      </c>
      <c r="N1">
        <v>18</v>
      </c>
      <c r="O1">
        <v>25</v>
      </c>
      <c r="P1">
        <v>29</v>
      </c>
      <c r="Q1">
        <v>30</v>
      </c>
      <c r="R1">
        <v>26</v>
      </c>
      <c r="S1">
        <v>24</v>
      </c>
      <c r="T1">
        <v>22</v>
      </c>
      <c r="U1">
        <v>31</v>
      </c>
      <c r="V1">
        <v>18</v>
      </c>
      <c r="W1">
        <v>30</v>
      </c>
      <c r="X1">
        <v>19</v>
      </c>
    </row>
    <row r="3" spans="1:24" x14ac:dyDescent="0.2">
      <c r="A3">
        <f>STDEV(A1:X1)</f>
        <v>4.7181425969567083</v>
      </c>
    </row>
    <row r="4" spans="1:24" x14ac:dyDescent="0.2">
      <c r="A4">
        <f>STANDARDIZE(26, AVERAGE(A1:X1),A3)</f>
        <v>0.52986952993166159</v>
      </c>
      <c r="C4" s="1" t="s">
        <v>2</v>
      </c>
      <c r="D4" s="1"/>
      <c r="E4" s="1" t="s">
        <v>3</v>
      </c>
    </row>
    <row r="5" spans="1:24" x14ac:dyDescent="0.2">
      <c r="C5" t="s">
        <v>5</v>
      </c>
      <c r="D5">
        <f>_xlfn.T.INV(0.0025,5)</f>
        <v>-4.7733406048555223</v>
      </c>
      <c r="E5" t="s">
        <v>6</v>
      </c>
    </row>
    <row r="6" spans="1:24" x14ac:dyDescent="0.2">
      <c r="C6" t="s">
        <v>0</v>
      </c>
      <c r="D6">
        <f>_xlfn.T.DIST(-4.773,5,TRUE)</f>
        <v>2.5007536158685902E-3</v>
      </c>
      <c r="E6" t="s">
        <v>7</v>
      </c>
    </row>
    <row r="7" spans="1:24" x14ac:dyDescent="0.2">
      <c r="C7" t="s">
        <v>1</v>
      </c>
      <c r="D7">
        <f>_xlfn.NORM.INV(0.975,0,1)</f>
        <v>1.9599639845400536</v>
      </c>
      <c r="E7" t="s">
        <v>8</v>
      </c>
    </row>
    <row r="8" spans="1:24" x14ac:dyDescent="0.2">
      <c r="C8" t="s">
        <v>4</v>
      </c>
      <c r="D8">
        <f>_xlfn.NORM.DIST(1.96,0,1,TRUE)</f>
        <v>0.97500210485177952</v>
      </c>
      <c r="E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4B1C-E508-314F-803B-1BDA6EA6D1B4}">
  <dimension ref="A1:P28"/>
  <sheetViews>
    <sheetView tabSelected="1" zoomScale="125" workbookViewId="0">
      <pane xSplit="2" topLeftCell="L1" activePane="topRight" state="frozen"/>
      <selection pane="topRight" activeCell="R23" sqref="R23"/>
    </sheetView>
  </sheetViews>
  <sheetFormatPr baseColWidth="10" defaultRowHeight="16" x14ac:dyDescent="0.2"/>
  <cols>
    <col min="1" max="1" width="19.33203125" style="6" bestFit="1" customWidth="1"/>
    <col min="2" max="2" width="2.1640625" bestFit="1" customWidth="1"/>
    <col min="7" max="7" width="7.5" bestFit="1" customWidth="1"/>
  </cols>
  <sheetData>
    <row r="1" spans="1:16" s="4" customFormat="1" x14ac:dyDescent="0.2">
      <c r="A1" s="5"/>
      <c r="C1" s="4" t="s">
        <v>17</v>
      </c>
      <c r="D1" s="4" t="s">
        <v>21</v>
      </c>
      <c r="E1" s="4" t="s">
        <v>22</v>
      </c>
      <c r="F1" s="4" t="s">
        <v>23</v>
      </c>
      <c r="G1" s="4" t="s">
        <v>26</v>
      </c>
      <c r="H1" s="4" t="s">
        <v>27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38</v>
      </c>
      <c r="N1" s="4" t="s">
        <v>39</v>
      </c>
      <c r="O1" s="4" t="s">
        <v>40</v>
      </c>
      <c r="P1" s="4" t="s">
        <v>43</v>
      </c>
    </row>
    <row r="2" spans="1:16" ht="17" x14ac:dyDescent="0.2">
      <c r="A2" s="6" t="s">
        <v>10</v>
      </c>
      <c r="B2" s="2" t="s">
        <v>16</v>
      </c>
      <c r="C2">
        <v>500</v>
      </c>
      <c r="D2">
        <v>700</v>
      </c>
      <c r="E2">
        <v>750</v>
      </c>
      <c r="G2">
        <v>1.1000000000000001</v>
      </c>
      <c r="H2">
        <v>65</v>
      </c>
      <c r="I2">
        <v>0</v>
      </c>
      <c r="J2">
        <v>10000</v>
      </c>
      <c r="K2">
        <v>10000</v>
      </c>
      <c r="L2">
        <v>8</v>
      </c>
      <c r="N2">
        <v>0.72</v>
      </c>
      <c r="P2">
        <v>45600</v>
      </c>
    </row>
    <row r="3" spans="1:16" ht="17" x14ac:dyDescent="0.2">
      <c r="A3" s="6" t="s">
        <v>28</v>
      </c>
      <c r="B3" s="2" t="s">
        <v>16</v>
      </c>
      <c r="H3">
        <v>70</v>
      </c>
      <c r="J3">
        <v>20000</v>
      </c>
      <c r="K3">
        <v>20000</v>
      </c>
      <c r="L3">
        <v>-8</v>
      </c>
      <c r="N3">
        <v>0.82</v>
      </c>
    </row>
    <row r="4" spans="1:16" ht="17" x14ac:dyDescent="0.2">
      <c r="A4" s="6" t="s">
        <v>44</v>
      </c>
      <c r="B4" s="2" t="s">
        <v>16</v>
      </c>
      <c r="P4">
        <v>20000</v>
      </c>
    </row>
    <row r="5" spans="1:16" ht="17" x14ac:dyDescent="0.2">
      <c r="A5" s="6" t="s">
        <v>11</v>
      </c>
      <c r="B5" s="2" t="s">
        <v>16</v>
      </c>
      <c r="C5">
        <v>549</v>
      </c>
      <c r="D5">
        <v>650</v>
      </c>
      <c r="E5">
        <v>650</v>
      </c>
      <c r="F5">
        <v>4500</v>
      </c>
      <c r="G5">
        <v>5.25</v>
      </c>
      <c r="I5">
        <v>11200</v>
      </c>
      <c r="J5">
        <v>11200</v>
      </c>
      <c r="K5">
        <v>11200</v>
      </c>
      <c r="L5">
        <v>0</v>
      </c>
      <c r="N5">
        <v>0.76</v>
      </c>
      <c r="O5">
        <v>1065</v>
      </c>
      <c r="P5">
        <v>25000</v>
      </c>
    </row>
    <row r="6" spans="1:16" ht="17" x14ac:dyDescent="0.2">
      <c r="A6" s="6" t="s">
        <v>12</v>
      </c>
      <c r="B6" s="2" t="s">
        <v>16</v>
      </c>
      <c r="C6">
        <v>68</v>
      </c>
      <c r="D6">
        <v>50</v>
      </c>
      <c r="E6">
        <v>50</v>
      </c>
      <c r="F6">
        <v>1800</v>
      </c>
      <c r="G6">
        <v>0.05</v>
      </c>
      <c r="I6">
        <v>8250</v>
      </c>
      <c r="J6">
        <v>8250</v>
      </c>
      <c r="K6">
        <v>8250</v>
      </c>
      <c r="L6">
        <v>55</v>
      </c>
      <c r="N6">
        <v>0.02</v>
      </c>
      <c r="O6">
        <v>500</v>
      </c>
    </row>
    <row r="7" spans="1:16" ht="17" x14ac:dyDescent="0.2">
      <c r="A7" s="6" t="s">
        <v>24</v>
      </c>
      <c r="B7" s="2" t="s">
        <v>16</v>
      </c>
      <c r="F7">
        <v>0.8</v>
      </c>
      <c r="H7">
        <v>0.45</v>
      </c>
      <c r="K7">
        <v>0.25</v>
      </c>
    </row>
    <row r="8" spans="1:16" ht="17" x14ac:dyDescent="0.2">
      <c r="A8" s="6" t="s">
        <v>29</v>
      </c>
      <c r="B8" s="2" t="s">
        <v>16</v>
      </c>
      <c r="H8">
        <v>0.15</v>
      </c>
    </row>
    <row r="9" spans="1:16" ht="17" x14ac:dyDescent="0.2">
      <c r="A9" s="6" t="s">
        <v>13</v>
      </c>
      <c r="B9" s="2" t="s">
        <v>16</v>
      </c>
      <c r="L9">
        <v>150</v>
      </c>
      <c r="M9">
        <v>90</v>
      </c>
      <c r="N9">
        <v>30</v>
      </c>
      <c r="O9">
        <v>100</v>
      </c>
      <c r="P9">
        <v>100</v>
      </c>
    </row>
    <row r="10" spans="1:16" ht="17" x14ac:dyDescent="0.2">
      <c r="A10" s="6" t="s">
        <v>14</v>
      </c>
      <c r="B10" s="2" t="s">
        <v>16</v>
      </c>
      <c r="M10">
        <v>0.2</v>
      </c>
    </row>
    <row r="11" spans="1:16" ht="17" x14ac:dyDescent="0.2">
      <c r="A11" s="6" t="s">
        <v>15</v>
      </c>
      <c r="B11" s="2" t="s">
        <v>16</v>
      </c>
    </row>
    <row r="16" spans="1:16" ht="17" x14ac:dyDescent="0.2">
      <c r="A16" s="6" t="s">
        <v>30</v>
      </c>
      <c r="B16" s="2" t="s">
        <v>16</v>
      </c>
      <c r="C16" t="e">
        <f t="shared" ref="C16:G16" si="0">(_xlfn.NORM.INV(C8,0,1)*C2 - _xlfn.NORM.INV(C7,0,1)*C3)/(_xlfn.NORM.INV(C8,0,1)-_xlfn.NORM.INV(C7,0,1))</f>
        <v>#NUM!</v>
      </c>
      <c r="D16" t="e">
        <f>(_xlfn.NORM.INV(D8,0,1)*D2 - _xlfn.NORM.INV(D7,0,1)*D3)/(_xlfn.NORM.INV(D8,0,1)-_xlfn.NORM.INV(D7,0,1))</f>
        <v>#NUM!</v>
      </c>
      <c r="E16" t="e">
        <f t="shared" si="0"/>
        <v>#NUM!</v>
      </c>
      <c r="F16" t="e">
        <f t="shared" si="0"/>
        <v>#NUM!</v>
      </c>
      <c r="G16" t="e">
        <f t="shared" si="0"/>
        <v>#NUM!</v>
      </c>
      <c r="H16">
        <f>(_xlfn.NORM.INV(H8,0,1)*H2 - _xlfn.NORM.INV(H7,0,1)*H3)/(_xlfn.NORM.INV(H8,0,1)-_xlfn.NORM.INV(H7,0,1))</f>
        <v>64.310138316877826</v>
      </c>
      <c r="I16" t="e">
        <f t="shared" ref="I16:O16" si="1">(_xlfn.NORM.INV(I8,0,1)*I2 - _xlfn.NORM.INV(I7,0,1)*I3)/(_xlfn.NORM.INV(I8,0,1)-_xlfn.NORM.INV(I7,0,1))</f>
        <v>#NUM!</v>
      </c>
      <c r="J16" t="e">
        <f t="shared" si="1"/>
        <v>#NUM!</v>
      </c>
      <c r="K16" t="e">
        <f t="shared" si="1"/>
        <v>#NUM!</v>
      </c>
      <c r="L16" t="e">
        <f t="shared" si="1"/>
        <v>#NUM!</v>
      </c>
      <c r="M16" t="e">
        <f t="shared" si="1"/>
        <v>#NUM!</v>
      </c>
      <c r="N16" t="e">
        <f t="shared" si="1"/>
        <v>#NUM!</v>
      </c>
      <c r="O16" t="e">
        <f t="shared" si="1"/>
        <v>#NUM!</v>
      </c>
    </row>
    <row r="17" spans="1:16" ht="17" x14ac:dyDescent="0.2">
      <c r="A17" s="6" t="s">
        <v>31</v>
      </c>
      <c r="B17" s="2" t="s">
        <v>16</v>
      </c>
      <c r="C17" t="e">
        <f>ABS((C2-C3)/(_xlfn.NORM.INV(C7,0,1)-_xlfn.NORM.INV(C8,0,1)))</f>
        <v>#NUM!</v>
      </c>
      <c r="D17" t="e">
        <f>ABS((D2-D3)/(_xlfn.NORM.INV(D7,0,1)-_xlfn.NORM.INV(D8,0,1)))</f>
        <v>#NUM!</v>
      </c>
      <c r="E17" t="e">
        <f>ABS((E2-E3)/(_xlfn.NORM.INV(E7,0,1)-_xlfn.NORM.INV(E8,0,1)))</f>
        <v>#NUM!</v>
      </c>
      <c r="F17" t="e">
        <f>ABS((F2-F3)/(_xlfn.NORM.INV(F7,0,1)-_xlfn.NORM.INV(F8,0,1)))</f>
        <v>#NUM!</v>
      </c>
      <c r="G17" t="e">
        <f>ABS((G2-G3)/(_xlfn.NORM.INV(G7,0,1)-_xlfn.NORM.INV(G8,0,1)))</f>
        <v>#NUM!</v>
      </c>
      <c r="H17">
        <f>ABS((H2-H3)/(_xlfn.NORM.INV(H7,0,1)-_xlfn.NORM.INV(H8,0,1)))</f>
        <v>5.4898479157461306</v>
      </c>
      <c r="I17" t="e">
        <f t="shared" ref="I17:O17" si="2">ABS((I2-I3)/(_xlfn.NORM.INV(I7,0,1)-_xlfn.NORM.INV(I8,0,1)))</f>
        <v>#NUM!</v>
      </c>
      <c r="J17" t="e">
        <f t="shared" si="2"/>
        <v>#NUM!</v>
      </c>
      <c r="K17" t="e">
        <f t="shared" si="2"/>
        <v>#NUM!</v>
      </c>
      <c r="L17" t="e">
        <f t="shared" si="2"/>
        <v>#NUM!</v>
      </c>
      <c r="M17" t="e">
        <f t="shared" si="2"/>
        <v>#NUM!</v>
      </c>
      <c r="N17" t="e">
        <f t="shared" si="2"/>
        <v>#NUM!</v>
      </c>
      <c r="O17" t="e">
        <f t="shared" si="2"/>
        <v>#NUM!</v>
      </c>
    </row>
    <row r="18" spans="1:16" ht="51" x14ac:dyDescent="0.2">
      <c r="A18" s="6" t="s">
        <v>41</v>
      </c>
      <c r="B18" s="2" t="s">
        <v>16</v>
      </c>
      <c r="C18" t="e">
        <f t="shared" ref="C18:L18" si="3">SQRT(C10*(1-C10)/C9)</f>
        <v>#DIV/0!</v>
      </c>
      <c r="D18" t="e">
        <f t="shared" si="3"/>
        <v>#DIV/0!</v>
      </c>
      <c r="E18" t="e">
        <f t="shared" si="3"/>
        <v>#DIV/0!</v>
      </c>
      <c r="F18" t="e">
        <f t="shared" si="3"/>
        <v>#DIV/0!</v>
      </c>
      <c r="G18" t="e">
        <f t="shared" si="3"/>
        <v>#DIV/0!</v>
      </c>
      <c r="H18" t="e">
        <f t="shared" si="3"/>
        <v>#DIV/0!</v>
      </c>
      <c r="I18" t="e">
        <f t="shared" si="3"/>
        <v>#DIV/0!</v>
      </c>
      <c r="J18" t="e">
        <f t="shared" si="3"/>
        <v>#DIV/0!</v>
      </c>
      <c r="K18" t="e">
        <f t="shared" si="3"/>
        <v>#DIV/0!</v>
      </c>
      <c r="L18">
        <f t="shared" si="3"/>
        <v>0</v>
      </c>
      <c r="M18">
        <f t="shared" ref="M18:N18" si="4">SQRT(M10*(1-M10)/M9)</f>
        <v>4.2163702135578393E-2</v>
      </c>
      <c r="N18">
        <f t="shared" si="4"/>
        <v>0</v>
      </c>
      <c r="O18">
        <f t="shared" ref="O18" si="5">SQRT(O10*(1-O10)/O9)</f>
        <v>0</v>
      </c>
    </row>
    <row r="19" spans="1:16" ht="34" x14ac:dyDescent="0.2">
      <c r="A19" s="6" t="s">
        <v>42</v>
      </c>
      <c r="B19" s="2" t="s">
        <v>16</v>
      </c>
      <c r="C19" t="e">
        <f t="shared" ref="C19:N19" si="6">C6/SQRT(C9)</f>
        <v>#DIV/0!</v>
      </c>
      <c r="D19" t="e">
        <f t="shared" si="6"/>
        <v>#DIV/0!</v>
      </c>
      <c r="E19" t="e">
        <f t="shared" si="6"/>
        <v>#DIV/0!</v>
      </c>
      <c r="F19" t="e">
        <f t="shared" si="6"/>
        <v>#DIV/0!</v>
      </c>
      <c r="G19" t="e">
        <f t="shared" si="6"/>
        <v>#DIV/0!</v>
      </c>
      <c r="H19" t="e">
        <f t="shared" si="6"/>
        <v>#DIV/0!</v>
      </c>
      <c r="I19" t="e">
        <f t="shared" si="6"/>
        <v>#DIV/0!</v>
      </c>
      <c r="J19" t="e">
        <f t="shared" si="6"/>
        <v>#DIV/0!</v>
      </c>
      <c r="K19" t="e">
        <f t="shared" si="6"/>
        <v>#DIV/0!</v>
      </c>
      <c r="L19">
        <f t="shared" si="6"/>
        <v>4.4907311951024935</v>
      </c>
      <c r="M19">
        <f t="shared" si="6"/>
        <v>0</v>
      </c>
      <c r="N19">
        <f t="shared" si="6"/>
        <v>3.6514837167011074E-3</v>
      </c>
      <c r="O19">
        <f>O6/SQRT(O9)</f>
        <v>50</v>
      </c>
    </row>
    <row r="20" spans="1:16" ht="17" x14ac:dyDescent="0.2">
      <c r="A20" s="6" t="s">
        <v>18</v>
      </c>
      <c r="B20" s="2" t="s">
        <v>16</v>
      </c>
      <c r="C20" s="3">
        <f>_xlfn.NORM.DIST(C2,C5,C6,0)</f>
        <v>4.5253066290372674E-3</v>
      </c>
      <c r="D20" s="3">
        <f t="shared" ref="D20:G20" si="7">_xlfn.NORM.DIST(D2,D5,D6,0)</f>
        <v>4.8394144903828673E-3</v>
      </c>
      <c r="E20" s="3">
        <f t="shared" si="7"/>
        <v>1.0798193302637611E-3</v>
      </c>
      <c r="F20" s="3">
        <f t="shared" si="7"/>
        <v>9.7379447186491891E-6</v>
      </c>
      <c r="G20" s="3">
        <f t="shared" si="7"/>
        <v>0</v>
      </c>
      <c r="H20" s="3" t="e">
        <f t="shared" ref="H20:I20" si="8">_xlfn.NORM.DIST(H2,H5,H6,0)</f>
        <v>#NUM!</v>
      </c>
      <c r="I20" s="3">
        <f t="shared" si="8"/>
        <v>1.9242042076779584E-5</v>
      </c>
      <c r="J20" s="3">
        <f t="shared" ref="J20:L20" si="9">_xlfn.NORM.DIST(J2,J5,J6,0)</f>
        <v>4.7847794890031636E-5</v>
      </c>
      <c r="K20" s="3">
        <f t="shared" si="9"/>
        <v>4.7847794890031636E-5</v>
      </c>
      <c r="L20" s="3">
        <f t="shared" si="9"/>
        <v>7.1771692335047448E-3</v>
      </c>
      <c r="M20" s="3" t="e">
        <f t="shared" ref="M20:N20" si="10">_xlfn.NORM.DIST(M2,M5,M6,0)</f>
        <v>#NUM!</v>
      </c>
      <c r="N20" s="3">
        <f t="shared" si="10"/>
        <v>2.6995483256593928</v>
      </c>
      <c r="O20" s="3">
        <f t="shared" ref="O20" si="11">_xlfn.NORM.DIST(O2,O5,O6,0)</f>
        <v>8.2559060852660835E-5</v>
      </c>
    </row>
    <row r="21" spans="1:16" ht="17" x14ac:dyDescent="0.2">
      <c r="A21" s="6" t="s">
        <v>20</v>
      </c>
      <c r="B21" s="2" t="s">
        <v>16</v>
      </c>
      <c r="C21">
        <f>_xlfn.NORM.DIST(C2,C5,C6,1)</f>
        <v>0.23558144715578491</v>
      </c>
      <c r="D21">
        <f t="shared" ref="D21:G21" si="12">_xlfn.NORM.DIST(D2,D5,D6,1)</f>
        <v>0.84134474606854304</v>
      </c>
      <c r="E21">
        <f t="shared" si="12"/>
        <v>0.97724986805182079</v>
      </c>
      <c r="F21">
        <f t="shared" si="12"/>
        <v>6.2096653257761331E-3</v>
      </c>
      <c r="G21">
        <f t="shared" si="12"/>
        <v>0</v>
      </c>
      <c r="H21" t="e">
        <f>_xlfn.NORM.DIST(H2,H5,H6,1)</f>
        <v>#NUM!</v>
      </c>
      <c r="I21">
        <f>_xlfn.NORM.DIST(I2,I5,I6,1)</f>
        <v>8.7299169833300064E-2</v>
      </c>
      <c r="J21">
        <f t="shared" ref="J21:L21" si="13">_xlfn.NORM.DIST(J2,J5,J6,1)</f>
        <v>0.4421760007387423</v>
      </c>
      <c r="K21">
        <f t="shared" si="13"/>
        <v>0.4421760007387423</v>
      </c>
      <c r="L21">
        <f t="shared" si="13"/>
        <v>0.5578239992612577</v>
      </c>
      <c r="M21" t="e">
        <f t="shared" ref="M21:N21" si="14">_xlfn.NORM.DIST(M2,M5,M6,1)</f>
        <v>#NUM!</v>
      </c>
      <c r="N21">
        <f t="shared" si="14"/>
        <v>2.2750131948179098E-2</v>
      </c>
      <c r="O21">
        <f t="shared" ref="O21" si="15">_xlfn.NORM.DIST(O2,O5,O6,1)</f>
        <v>1.6585806683605007E-2</v>
      </c>
    </row>
    <row r="22" spans="1:16" ht="17" x14ac:dyDescent="0.2">
      <c r="A22" s="6" t="s">
        <v>19</v>
      </c>
      <c r="B22" s="2" t="s">
        <v>16</v>
      </c>
      <c r="C22">
        <f>1-_xlfn.NORM.DIST(C2,C5,C6,1)</f>
        <v>0.76441855284421512</v>
      </c>
      <c r="D22">
        <f t="shared" ref="D22:G22" si="16">1-_xlfn.NORM.DIST(D2,D5,D6,1)</f>
        <v>0.15865525393145696</v>
      </c>
      <c r="E22">
        <f t="shared" si="16"/>
        <v>2.2750131948179209E-2</v>
      </c>
      <c r="F22">
        <f t="shared" si="16"/>
        <v>0.99379033467422384</v>
      </c>
      <c r="G22">
        <f t="shared" si="16"/>
        <v>1</v>
      </c>
      <c r="H22" t="e">
        <f>1-_xlfn.NORM.DIST(H2,H5,H6,1)</f>
        <v>#NUM!</v>
      </c>
      <c r="I22">
        <f>1-_xlfn.NORM.DIST(I2,I5,I6,1)</f>
        <v>0.91270083016669989</v>
      </c>
      <c r="J22">
        <f t="shared" ref="J22:L22" si="17">1-_xlfn.NORM.DIST(J2,J5,J6,1)</f>
        <v>0.5578239992612577</v>
      </c>
      <c r="K22">
        <f t="shared" si="17"/>
        <v>0.5578239992612577</v>
      </c>
      <c r="L22">
        <f t="shared" si="17"/>
        <v>0.4421760007387423</v>
      </c>
      <c r="M22" t="e">
        <f t="shared" ref="M22:N22" si="18">1-_xlfn.NORM.DIST(M2,M5,M6,1)</f>
        <v>#NUM!</v>
      </c>
      <c r="N22">
        <f t="shared" si="18"/>
        <v>0.9772498680518209</v>
      </c>
      <c r="O22">
        <f t="shared" ref="O22" si="19">1-_xlfn.NORM.DIST(O2,O5,O6,1)</f>
        <v>0.98341419331639501</v>
      </c>
    </row>
    <row r="23" spans="1:16" ht="17" x14ac:dyDescent="0.2">
      <c r="A23" s="6" t="s">
        <v>32</v>
      </c>
      <c r="B23" s="2" t="s">
        <v>16</v>
      </c>
      <c r="L23">
        <f>(1-_xlfn.NORM.DIST(L2/(L6/SQRT(L9)),0,1,1))+(_xlfn.NORM.DIST(L3/(L6/SQRT(L9)),0,1,1))</f>
        <v>7.4839441921874778E-2</v>
      </c>
      <c r="M23" t="e">
        <f>(1-_xlfn.NORM.DIST(M2/(M6/SQRT(M9)),0,1,1))+(_xlfn.NORM.DIST(M3/(M6/SQRT(M9)),0,1,1))</f>
        <v>#DIV/0!</v>
      </c>
      <c r="N23">
        <f>(1-_xlfn.NORM.DIST(N2/(N6/SQRT(N9)),0,1,1))+(_xlfn.NORM.DIST(N3/(N6/SQRT(N9)),0,1,1))</f>
        <v>1</v>
      </c>
      <c r="O23">
        <f>(1-_xlfn.NORM.DIST(O2/(O6/SQRT(O9)),0,1,1))+(_xlfn.NORM.DIST(O3/(O6/SQRT(O9)),0,1,1))</f>
        <v>1</v>
      </c>
    </row>
    <row r="24" spans="1:16" ht="17" x14ac:dyDescent="0.2">
      <c r="A24" s="6" t="s">
        <v>25</v>
      </c>
      <c r="B24" s="2" t="s">
        <v>16</v>
      </c>
      <c r="C24" t="e">
        <f>_xlfn.NORM.INV(C7,C5,C6)</f>
        <v>#NUM!</v>
      </c>
      <c r="D24" t="e">
        <f t="shared" ref="D24:G24" si="20">_xlfn.NORM.INV(D7,D5,D6)</f>
        <v>#NUM!</v>
      </c>
      <c r="E24" t="e">
        <f t="shared" si="20"/>
        <v>#NUM!</v>
      </c>
      <c r="F24">
        <f t="shared" si="20"/>
        <v>6014.9182204312465</v>
      </c>
      <c r="G24" t="e">
        <f t="shared" si="20"/>
        <v>#NUM!</v>
      </c>
      <c r="H24" t="e">
        <f t="shared" ref="H24:I24" si="21">_xlfn.NORM.INV(H7,H5,H6)</f>
        <v>#NUM!</v>
      </c>
      <c r="I24" t="e">
        <f t="shared" si="21"/>
        <v>#NUM!</v>
      </c>
      <c r="J24" t="e">
        <f t="shared" ref="J24:L24" si="22">_xlfn.NORM.INV(J7,J5,J6)</f>
        <v>#NUM!</v>
      </c>
      <c r="K24">
        <f t="shared" si="22"/>
        <v>5635.4595608823238</v>
      </c>
      <c r="L24" t="e">
        <f t="shared" si="22"/>
        <v>#NUM!</v>
      </c>
      <c r="M24" t="e">
        <f t="shared" ref="M24:N24" si="23">_xlfn.NORM.INV(M7,M5,M6)</f>
        <v>#NUM!</v>
      </c>
      <c r="N24" t="e">
        <f t="shared" si="23"/>
        <v>#NUM!</v>
      </c>
      <c r="O24" t="e">
        <f t="shared" ref="O24" si="24">_xlfn.NORM.INV(O7,O5,O6)</f>
        <v>#NUM!</v>
      </c>
    </row>
    <row r="25" spans="1:16" ht="34" x14ac:dyDescent="0.2">
      <c r="A25" s="6" t="s">
        <v>37</v>
      </c>
      <c r="B25" s="2" t="s">
        <v>16</v>
      </c>
      <c r="L25">
        <f>2*(1-_xlfn.NORM.DIST(8/(L6/SQRT(L9)),0,1,1))</f>
        <v>7.483944192187475E-2</v>
      </c>
      <c r="M25" t="e">
        <f>2*(1-_xlfn.NORM.DIST(8/(M6/SQRT(M9)),0,1,1))</f>
        <v>#DIV/0!</v>
      </c>
      <c r="N25">
        <f>2*(1-_xlfn.NORM.DIST(8/(N6/SQRT(N9)),0,1,1))</f>
        <v>0</v>
      </c>
      <c r="O25">
        <f>2*(1-_xlfn.NORM.DIST(8/(O6/SQRT(O9)),0,1,1))</f>
        <v>0.87288107421713423</v>
      </c>
    </row>
    <row r="26" spans="1:16" ht="17" x14ac:dyDescent="0.2">
      <c r="A26" s="6" t="s">
        <v>47</v>
      </c>
      <c r="B26" s="2" t="s">
        <v>16</v>
      </c>
    </row>
    <row r="27" spans="1:16" ht="17" x14ac:dyDescent="0.2">
      <c r="A27" s="6" t="s">
        <v>46</v>
      </c>
      <c r="B27" s="2" t="s">
        <v>16</v>
      </c>
      <c r="P27">
        <f>(P2-P5)*SQRT(P9)/P4</f>
        <v>10.3</v>
      </c>
    </row>
    <row r="28" spans="1:16" ht="17" x14ac:dyDescent="0.2">
      <c r="A28" s="6" t="s">
        <v>45</v>
      </c>
      <c r="B28" s="2" t="s">
        <v>16</v>
      </c>
      <c r="P28">
        <f>_xlfn.T.DIST((P2-P5)*SQRT(P9)/P4,P9-1,1)</f>
        <v>1</v>
      </c>
    </row>
  </sheetData>
  <pageMargins left="0.7" right="0.7" top="0.75" bottom="0.75" header="0.3" footer="0.3"/>
  <ignoredErrors>
    <ignoredError sqref="C1 F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2021-03-05T07:46:52Z</dcterms:created>
  <dcterms:modified xsi:type="dcterms:W3CDTF">2021-03-07T09:52:33Z</dcterms:modified>
</cp:coreProperties>
</file>