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1/SA/"/>
    </mc:Choice>
  </mc:AlternateContent>
  <xr:revisionPtr revIDLastSave="0" documentId="8_{9865833F-A72F-8F44-A8A8-85FE030C7097}" xr6:coauthVersionLast="45" xr6:coauthVersionMax="45" xr10:uidLastSave="{00000000-0000-0000-0000-000000000000}"/>
  <bookViews>
    <workbookView xWindow="4700" yWindow="3200" windowWidth="27240" windowHeight="16440" xr2:uid="{481769D8-D0D7-D64D-B4FE-EDE681AA928B}"/>
  </bookViews>
  <sheets>
    <sheet name="sari case" sheetId="1" r:id="rId1"/>
    <sheet name="Sheet2" sheetId="2" r:id="rId2"/>
    <sheet name="conf interval and precision" sheetId="3" r:id="rId3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5" i="3"/>
  <c r="B6" i="3"/>
  <c r="B4" i="3"/>
  <c r="H1" i="3"/>
  <c r="C4" i="3" s="1"/>
  <c r="A2" i="2"/>
  <c r="A1" i="2"/>
  <c r="B5" i="1"/>
  <c r="B6" i="1"/>
  <c r="B7" i="1"/>
  <c r="B4" i="1"/>
  <c r="D4" i="3" l="1"/>
  <c r="E4" i="3" s="1"/>
  <c r="D5" i="3"/>
  <c r="C5" i="3"/>
  <c r="C7" i="3"/>
  <c r="C6" i="3"/>
  <c r="D7" i="3"/>
  <c r="D6" i="3"/>
  <c r="C8" i="1"/>
  <c r="E7" i="1" s="1"/>
  <c r="B8" i="1"/>
  <c r="E7" i="3" l="1"/>
  <c r="E6" i="3"/>
  <c r="E5" i="3"/>
  <c r="F8" i="1"/>
  <c r="F9" i="1" s="1"/>
  <c r="E8" i="1"/>
</calcChain>
</file>

<file path=xl/sharedStrings.xml><?xml version="1.0" encoding="utf-8"?>
<sst xmlns="http://schemas.openxmlformats.org/spreadsheetml/2006/main" count="17" uniqueCount="14">
  <si>
    <t>p=</t>
  </si>
  <si>
    <t>Penalty=</t>
  </si>
  <si>
    <t>X</t>
  </si>
  <si>
    <t>P(X)</t>
  </si>
  <si>
    <t>Delay</t>
  </si>
  <si>
    <t>n=</t>
  </si>
  <si>
    <t>n</t>
  </si>
  <si>
    <t>Xb</t>
  </si>
  <si>
    <t>Sigma</t>
  </si>
  <si>
    <t>SigmaXb</t>
  </si>
  <si>
    <t>Z</t>
  </si>
  <si>
    <t>LL</t>
  </si>
  <si>
    <t>UL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</si>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</sst>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EBE8-BC57-F549-AECB-26E1F96B2AC0}">
  <dimension ref="A1:F9"/>
  <sheetViews>
    <sheetView tabSelected="1" zoomScale="232" workbookViewId="0">
      <selection activeCell="B5" sqref="B5"/>
    </sheetView>
  </sheetViews>
  <sheetFormatPr baseColWidth="10" defaultRowHeight="16" x14ac:dyDescent="0.2"/>
  <sheetData>
    <row r="1" spans="1:6" x14ac:dyDescent="0.2">
      <c r="A1" s="1" t="s">
        <v>5</v>
      </c>
      <c r="B1" s="2">
        <v>3</v>
      </c>
      <c r="C1" s="1" t="s">
        <v>0</v>
      </c>
      <c r="D1" s="2">
        <v>0.2</v>
      </c>
      <c r="E1" s="1" t="s">
        <v>1</v>
      </c>
      <c r="F1" s="2">
        <v>100000</v>
      </c>
    </row>
    <row r="3" spans="1:6" x14ac:dyDescent="0.2">
      <c r="A3" t="s">
        <v>2</v>
      </c>
      <c r="B3" t="s">
        <v>3</v>
      </c>
      <c r="C3" t="s">
        <v>4</v>
      </c>
    </row>
    <row r="4" spans="1:6" x14ac:dyDescent="0.2">
      <c r="A4">
        <v>0</v>
      </c>
      <c r="B4">
        <f>_xlfn.BINOM.DIST(A4,$B$1,$D$1,FALSE)</f>
        <v>0.51200000000000001</v>
      </c>
      <c r="C4">
        <v>0</v>
      </c>
    </row>
    <row r="5" spans="1:6" x14ac:dyDescent="0.2">
      <c r="A5">
        <v>1</v>
      </c>
      <c r="B5">
        <f t="shared" ref="B5:B7" si="0">_xlfn.BINOM.DIST(A5,$B$1,$D$1,FALSE)</f>
        <v>0.38400000000000001</v>
      </c>
      <c r="C5">
        <v>1</v>
      </c>
    </row>
    <row r="6" spans="1:6" x14ac:dyDescent="0.2">
      <c r="A6">
        <v>2</v>
      </c>
      <c r="B6">
        <f t="shared" si="0"/>
        <v>9.6000000000000016E-2</v>
      </c>
      <c r="C6">
        <v>3</v>
      </c>
      <c r="E6">
        <v>72000</v>
      </c>
      <c r="F6">
        <v>0.4</v>
      </c>
    </row>
    <row r="7" spans="1:6" x14ac:dyDescent="0.2">
      <c r="A7">
        <v>3</v>
      </c>
      <c r="B7">
        <f t="shared" si="0"/>
        <v>8.0000000000000036E-3</v>
      </c>
      <c r="C7">
        <v>6</v>
      </c>
      <c r="E7">
        <f>C8*F1</f>
        <v>72000.000000000015</v>
      </c>
      <c r="F7">
        <v>0.6</v>
      </c>
    </row>
    <row r="8" spans="1:6" x14ac:dyDescent="0.2">
      <c r="B8">
        <f>SUMPRODUCT(A4:A7,B4:B7)</f>
        <v>0.60000000000000009</v>
      </c>
      <c r="C8">
        <f>SUMPRODUCT(B4:B7,C4:C7)</f>
        <v>0.72000000000000008</v>
      </c>
      <c r="E8">
        <f>E6-E7</f>
        <v>0</v>
      </c>
      <c r="F8">
        <f>SUMPRODUCT(E6:E7,F6:F7)</f>
        <v>72000</v>
      </c>
    </row>
    <row r="9" spans="1:6" x14ac:dyDescent="0.2">
      <c r="F9">
        <f>72000-F8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9528-B2C6-D34C-B9A7-9C39AB3A1D7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>
        <f>1-_xlfn.NORM.DIST(260,200,20,TRUE)</f>
        <v>1.3498980316301035E-3</v>
      </c>
    </row>
    <row r="2" spans="1:1" x14ac:dyDescent="0.2">
      <c r="A2">
        <f>1-_xlfn.NORM.DIST(250,100,50,TRUE)</f>
        <v>1.3498980316301035E-3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FCF1-7928-F246-908A-3766785E4ED4}">
  <dimension ref="A1:J7"/>
  <sheetViews>
    <sheetView zoomScale="200" workbookViewId="0">
      <selection activeCell="F1" sqref="F1"/>
    </sheetView>
  </sheetViews>
  <sheetFormatPr baseColWidth="10" defaultRowHeight="16" x14ac:dyDescent="0.2"/>
  <cols>
    <col min="2" max="2" width="12.1640625" bestFit="1" customWidth="1"/>
  </cols>
  <sheetData>
    <row r="1" spans="1:10" x14ac:dyDescent="0.2">
      <c r="A1" t="s">
        <v>6</v>
      </c>
      <c r="B1">
        <v>144</v>
      </c>
      <c r="C1" t="s">
        <v>7</v>
      </c>
      <c r="D1">
        <v>6540</v>
      </c>
      <c r="E1" t="s">
        <v>8</v>
      </c>
      <c r="F1">
        <v>3000</v>
      </c>
      <c r="G1" t="s">
        <v>9</v>
      </c>
      <c r="H1">
        <f>F1/B1^0.5</f>
        <v>250</v>
      </c>
    </row>
    <row r="3" spans="1:10" x14ac:dyDescent="0.2">
      <c r="B3" t="s">
        <v>10</v>
      </c>
      <c r="C3" t="s">
        <v>11</v>
      </c>
      <c r="D3" t="s">
        <v>12</v>
      </c>
      <c r="E3" t="s">
        <v>13</v>
      </c>
      <c r="H3" t="s">
        <v>11</v>
      </c>
      <c r="I3" t="s">
        <v>12</v>
      </c>
      <c r="J3" t="s">
        <v>13</v>
      </c>
    </row>
    <row r="4" spans="1:10" x14ac:dyDescent="0.2">
      <c r="A4" s="3">
        <v>0.9</v>
      </c>
      <c r="B4">
        <f>-_xlfn.NORM.S.INV((1-A4)/2)</f>
        <v>1.6448536269514726</v>
      </c>
      <c r="C4">
        <f>($D$1)-B4*$H$1</f>
        <v>6128.7865932621316</v>
      </c>
      <c r="D4">
        <f>($D$1)+B4*$H$1</f>
        <v>6951.2134067378684</v>
      </c>
      <c r="E4">
        <f>D4-C4</f>
        <v>822.42681347573671</v>
      </c>
      <c r="H4">
        <v>5908.3762072506343</v>
      </c>
      <c r="I4">
        <v>7171.6237927493657</v>
      </c>
      <c r="J4">
        <v>1263.2475854987315</v>
      </c>
    </row>
    <row r="5" spans="1:10" x14ac:dyDescent="0.2">
      <c r="A5" s="3">
        <v>0.95</v>
      </c>
      <c r="B5">
        <f t="shared" ref="B5:B7" si="0">-_xlfn.NORM.S.INV((1-A5)/2)</f>
        <v>1.9599639845400536</v>
      </c>
      <c r="C5">
        <f t="shared" ref="C5:C7" si="1">($D$1)-B5*$H$1</f>
        <v>6050.0090038649869</v>
      </c>
      <c r="D5">
        <f t="shared" ref="D5:D6" si="2">($D$1)+B5*$H$1</f>
        <v>7029.9909961350131</v>
      </c>
      <c r="E5">
        <f t="shared" ref="E5:E6" si="3">D5-C5</f>
        <v>979.98199227002624</v>
      </c>
      <c r="H5">
        <v>5787.3738299366196</v>
      </c>
      <c r="I5">
        <v>7292.6261700633804</v>
      </c>
      <c r="J5">
        <v>1505.2523401267608</v>
      </c>
    </row>
    <row r="6" spans="1:10" x14ac:dyDescent="0.2">
      <c r="A6" s="3">
        <v>0.99</v>
      </c>
      <c r="B6">
        <f t="shared" si="0"/>
        <v>2.5758293035488999</v>
      </c>
      <c r="C6">
        <f t="shared" si="1"/>
        <v>5896.0426741127749</v>
      </c>
      <c r="D6">
        <f t="shared" si="2"/>
        <v>7183.9573258872251</v>
      </c>
      <c r="E6">
        <f t="shared" si="3"/>
        <v>1287.9146517744502</v>
      </c>
      <c r="H6">
        <v>5550.8815474372223</v>
      </c>
      <c r="I6">
        <v>7529.1184525627777</v>
      </c>
      <c r="J6">
        <v>1978.2369051255555</v>
      </c>
    </row>
    <row r="7" spans="1:10" x14ac:dyDescent="0.2">
      <c r="A7" s="3">
        <v>0.999</v>
      </c>
      <c r="B7">
        <f t="shared" si="0"/>
        <v>3.2905267314918945</v>
      </c>
      <c r="C7">
        <f t="shared" si="1"/>
        <v>5717.3683171270259</v>
      </c>
      <c r="D7">
        <f t="shared" ref="D7" si="4">($D$1)+B7*$H$1</f>
        <v>7362.6316828729741</v>
      </c>
      <c r="E7">
        <f t="shared" ref="E7" si="5">D7-C7</f>
        <v>1645.2633657459482</v>
      </c>
      <c r="H7">
        <v>5276.4377351071125</v>
      </c>
      <c r="I7">
        <v>7803.5622648928875</v>
      </c>
      <c r="J7">
        <v>2527.1245297857749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sari case</vt:lpstr>
      <vt:lpstr>Sheet2</vt:lpstr>
      <vt:lpstr>conf interval and precision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2021-01-21T05:03:26Z</dcterms:created>
  <dcterms:modified xsi:type="dcterms:W3CDTF">2021-01-22T15:08:39Z</dcterms:modified>
</cp:coreProperties>
</file>