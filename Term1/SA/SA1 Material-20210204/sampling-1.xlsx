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53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ISB\Statistical Analysis 1\"/>
    </mc:Choice>
  </mc:AlternateContent>
  <xr:revisionPtr revIDLastSave="0" documentId="13_ncr:40009_{9E2ADF10-5C7E-4763-8D7C-516137B3D20A}" xr6:coauthVersionLast="46" xr6:coauthVersionMax="46" xr10:uidLastSave="{00000000-0000-0000-0000-000000000000}"/>
  <bookViews>
    <workbookView xWindow="-110" yWindow="-110" windowWidth="21820" windowHeight="14020"/>
  </bookViews>
  <sheets>
    <sheet name="Sheet1" sheetId="1" r:id="rId1"/>
    <sheet name="Sheet2" sheetId="4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7" i="4" l="1"/>
  <c r="B6" i="4"/>
  <c r="B5" i="4"/>
  <c r="D5" i="4"/>
  <c r="E5" i="4" s="1"/>
  <c r="H1" i="4"/>
  <c r="D7" i="4" s="1"/>
  <c r="E7" i="4" s="1"/>
  <c r="C7" i="4"/>
  <c r="C24" i="1"/>
  <c r="C25" i="1"/>
  <c r="C26" i="1"/>
  <c r="C27" i="1"/>
  <c r="C23" i="1"/>
  <c r="F2" i="1"/>
  <c r="B28" i="1"/>
  <c r="F1" i="1"/>
  <c r="B8" i="1"/>
  <c r="B13" i="1" s="1"/>
  <c r="B10" i="1"/>
  <c r="C8" i="1"/>
  <c r="C16" i="1" s="1"/>
  <c r="D8" i="1"/>
  <c r="D16" i="1" s="1"/>
  <c r="D15" i="1"/>
  <c r="E8" i="1"/>
  <c r="E17" i="1" s="1"/>
  <c r="F8" i="1"/>
  <c r="F18" i="1"/>
  <c r="D12" i="1"/>
  <c r="C10" i="1"/>
  <c r="E14" i="1"/>
  <c r="F17" i="1"/>
  <c r="E18" i="1"/>
  <c r="C17" i="1"/>
  <c r="B12" i="1"/>
  <c r="F16" i="1"/>
  <c r="F11" i="1"/>
  <c r="C9" i="1"/>
  <c r="F14" i="1"/>
  <c r="C11" i="1"/>
  <c r="F13" i="1"/>
  <c r="C6" i="4"/>
  <c r="D6" i="4"/>
  <c r="E6" i="4" s="1"/>
  <c r="C5" i="4"/>
  <c r="E15" i="1" l="1"/>
  <c r="B9" i="1"/>
  <c r="B11" i="1"/>
  <c r="G11" i="1" s="1"/>
  <c r="E12" i="1"/>
  <c r="G12" i="1" s="1"/>
  <c r="B14" i="1"/>
  <c r="G14" i="1" s="1"/>
  <c r="C28" i="1"/>
  <c r="G10" i="1"/>
  <c r="G17" i="1"/>
  <c r="E10" i="1"/>
  <c r="G16" i="1"/>
  <c r="G9" i="1"/>
  <c r="D18" i="1"/>
  <c r="G18" i="1" s="1"/>
  <c r="D13" i="1"/>
  <c r="G13" i="1" s="1"/>
  <c r="D9" i="1"/>
  <c r="C15" i="1"/>
  <c r="G15" i="1" s="1"/>
  <c r="G19" i="1" l="1"/>
  <c r="G20" i="1"/>
</calcChain>
</file>

<file path=xl/sharedStrings.xml><?xml version="1.0" encoding="utf-8"?>
<sst xmlns="http://schemas.openxmlformats.org/spreadsheetml/2006/main" count="43" uniqueCount="33">
  <si>
    <t>Champaign Indage</t>
  </si>
  <si>
    <t>A</t>
  </si>
  <si>
    <t>Mean</t>
  </si>
  <si>
    <t>Charminar Breweries</t>
  </si>
  <si>
    <t>B</t>
  </si>
  <si>
    <t>Std.Dev</t>
  </si>
  <si>
    <t>Hindustan Breweries</t>
  </si>
  <si>
    <t>C</t>
  </si>
  <si>
    <t>Sica Breweries</t>
  </si>
  <si>
    <t>D</t>
  </si>
  <si>
    <t>Skol Breweries</t>
  </si>
  <si>
    <t>E</t>
  </si>
  <si>
    <t>ABC</t>
  </si>
  <si>
    <t>ABD</t>
  </si>
  <si>
    <t>ABE</t>
  </si>
  <si>
    <t>ACD</t>
  </si>
  <si>
    <t>ACE</t>
  </si>
  <si>
    <t>ADE</t>
  </si>
  <si>
    <t>BCD</t>
  </si>
  <si>
    <t>BCE</t>
  </si>
  <si>
    <t>BDE</t>
  </si>
  <si>
    <t>CDE</t>
  </si>
  <si>
    <t>Std.Dev From Sigma</t>
  </si>
  <si>
    <t>Freq</t>
  </si>
  <si>
    <t>Sample Mean</t>
  </si>
  <si>
    <t>Rel Freq</t>
  </si>
  <si>
    <t>X-Bar=</t>
  </si>
  <si>
    <t>Sigma=</t>
  </si>
  <si>
    <t>n=</t>
  </si>
  <si>
    <t>Sig_X-Bar=</t>
  </si>
  <si>
    <t>LL</t>
  </si>
  <si>
    <t>UL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</si>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</sst>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2" formatCode="0.0000000000"/>
    <numFmt numFmtId="174" formatCode="0.000"/>
  </numFmts>
  <fonts count="11" x14ac:knownFonts="1">
    <font>
      <sz val="10"/>
      <name val="Arial"/>
    </font>
    <font>
      <b/>
      <sz val="12"/>
      <name val="Times New Roman"/>
      <family val="1"/>
    </font>
    <font>
      <b/>
      <sz val="10"/>
      <name val="Arial"/>
      <family val="2"/>
    </font>
    <font>
      <sz val="10"/>
      <name val="Arial"/>
      <family val="2"/>
    </font>
    <font>
      <b/>
      <sz val="14"/>
      <name val="Times New Roman"/>
      <family val="1"/>
    </font>
    <font>
      <b/>
      <i/>
      <sz val="12"/>
      <name val="Times New Roman"/>
      <family val="1"/>
    </font>
    <font>
      <sz val="10"/>
      <color rgb="FFFF0000"/>
      <name val="Arial"/>
      <family val="2"/>
    </font>
    <font>
      <b/>
      <i/>
      <sz val="12"/>
      <color rgb="FFFF0000"/>
      <name val="Times New Roman"/>
      <family val="1"/>
    </font>
    <font>
      <sz val="10"/>
      <color theme="0"/>
      <name val="Arial"/>
      <family val="2"/>
    </font>
    <font>
      <b/>
      <i/>
      <sz val="12"/>
      <color theme="0"/>
      <name val="Times New Roman"/>
      <family val="1"/>
    </font>
    <font>
      <sz val="10"/>
      <color rgb="FFFFFF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/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/>
      <right/>
      <top/>
      <bottom style="hair">
        <color auto="1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2" fontId="1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/>
    <xf numFmtId="9" fontId="0" fillId="0" borderId="0" xfId="0" applyNumberFormat="1"/>
    <xf numFmtId="1" fontId="0" fillId="0" borderId="0" xfId="0" applyNumberFormat="1"/>
    <xf numFmtId="0" fontId="3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174" fontId="0" fillId="0" borderId="0" xfId="0" applyNumberFormat="1"/>
    <xf numFmtId="174" fontId="0" fillId="0" borderId="0" xfId="0" applyNumberFormat="1" applyAlignment="1">
      <alignment horizontal="center"/>
    </xf>
    <xf numFmtId="0" fontId="0" fillId="0" borderId="2" xfId="0" applyBorder="1"/>
    <xf numFmtId="0" fontId="3" fillId="2" borderId="3" xfId="0" applyFont="1" applyFill="1" applyBorder="1"/>
    <xf numFmtId="0" fontId="4" fillId="2" borderId="4" xfId="0" applyFont="1" applyFill="1" applyBorder="1" applyAlignment="1">
      <alignment horizontal="center"/>
    </xf>
    <xf numFmtId="0" fontId="6" fillId="2" borderId="4" xfId="0" applyFont="1" applyFill="1" applyBorder="1"/>
    <xf numFmtId="0" fontId="0" fillId="0" borderId="4" xfId="0" applyBorder="1"/>
    <xf numFmtId="0" fontId="3" fillId="2" borderId="4" xfId="0" applyFont="1" applyFill="1" applyBorder="1" applyAlignment="1">
      <alignment horizontal="center"/>
    </xf>
    <xf numFmtId="2" fontId="8" fillId="2" borderId="4" xfId="0" applyNumberFormat="1" applyFont="1" applyFill="1" applyBorder="1" applyAlignment="1">
      <alignment horizontal="center"/>
    </xf>
    <xf numFmtId="0" fontId="3" fillId="2" borderId="4" xfId="0" applyFont="1" applyFill="1" applyBorder="1"/>
    <xf numFmtId="0" fontId="5" fillId="2" borderId="4" xfId="0" applyFont="1" applyFill="1" applyBorder="1"/>
    <xf numFmtId="2" fontId="9" fillId="2" borderId="4" xfId="0" applyNumberFormat="1" applyFont="1" applyFill="1" applyBorder="1"/>
    <xf numFmtId="172" fontId="9" fillId="2" borderId="4" xfId="0" applyNumberFormat="1" applyFont="1" applyFill="1" applyBorder="1"/>
    <xf numFmtId="172" fontId="7" fillId="2" borderId="4" xfId="0" applyNumberFormat="1" applyFont="1" applyFill="1" applyBorder="1"/>
    <xf numFmtId="0" fontId="1" fillId="2" borderId="3" xfId="0" applyFont="1" applyFill="1" applyBorder="1" applyAlignment="1">
      <alignment wrapText="1"/>
    </xf>
    <xf numFmtId="0" fontId="1" fillId="2" borderId="4" xfId="0" applyFont="1" applyFill="1" applyBorder="1"/>
    <xf numFmtId="2" fontId="3" fillId="2" borderId="3" xfId="0" applyNumberFormat="1" applyFont="1" applyFill="1" applyBorder="1" applyAlignment="1">
      <alignment horizontal="center"/>
    </xf>
    <xf numFmtId="1" fontId="3" fillId="2" borderId="4" xfId="0" applyNumberFormat="1" applyFont="1" applyFill="1" applyBorder="1" applyAlignment="1">
      <alignment horizontal="center"/>
    </xf>
    <xf numFmtId="0" fontId="10" fillId="3" borderId="4" xfId="0" applyFont="1" applyFill="1" applyBorder="1"/>
    <xf numFmtId="2" fontId="3" fillId="2" borderId="4" xfId="0" applyNumberFormat="1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2" fontId="3" fillId="2" borderId="4" xfId="0" applyNumberFormat="1" applyFont="1" applyFill="1" applyBorder="1"/>
    <xf numFmtId="0" fontId="3" fillId="0" borderId="3" xfId="0" applyFont="1" applyBorder="1"/>
    <xf numFmtId="0" fontId="3" fillId="0" borderId="4" xfId="0" applyFont="1" applyBorder="1"/>
    <xf numFmtId="0" fontId="0" fillId="0" borderId="3" xfId="0" applyBorder="1"/>
    <xf numFmtId="0" fontId="0" fillId="0" borderId="5" xfId="0" applyBorder="1"/>
    <xf numFmtId="0" fontId="0" fillId="0" borderId="1" xfId="0" applyBorder="1"/>
    <xf numFmtId="0" fontId="0" fillId="0" borderId="6" xfId="0" applyBorder="1"/>
    <xf numFmtId="0" fontId="0" fillId="0" borderId="7" xfId="0" applyBorder="1"/>
    <xf numFmtId="0" fontId="2" fillId="0" borderId="4" xfId="0" applyFont="1" applyBorder="1" applyAlignment="1">
      <alignment horizontal="center"/>
    </xf>
    <xf numFmtId="0" fontId="0" fillId="0" borderId="4" xfId="0" applyBorder="1" applyAlignment="1">
      <alignment horizontal="center"/>
    </xf>
    <xf numFmtId="0" fontId="1" fillId="2" borderId="4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Sheet1!$C$22</c:f>
              <c:strCache>
                <c:ptCount val="1"/>
                <c:pt idx="0">
                  <c:v>Rel Freq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Sheet1!$A$23:$A$27</c:f>
              <c:numCache>
                <c:formatCode>0.00</c:formatCode>
                <c:ptCount val="5"/>
                <c:pt idx="0">
                  <c:v>2</c:v>
                </c:pt>
                <c:pt idx="1">
                  <c:v>2.33</c:v>
                </c:pt>
                <c:pt idx="2">
                  <c:v>2.67</c:v>
                </c:pt>
                <c:pt idx="3">
                  <c:v>3</c:v>
                </c:pt>
                <c:pt idx="4">
                  <c:v>3.33</c:v>
                </c:pt>
              </c:numCache>
            </c:numRef>
          </c:cat>
          <c:val>
            <c:numRef>
              <c:f>Sheet1!$C$23:$C$27</c:f>
              <c:numCache>
                <c:formatCode>General</c:formatCode>
                <c:ptCount val="5"/>
                <c:pt idx="0">
                  <c:v>0.2</c:v>
                </c:pt>
                <c:pt idx="1">
                  <c:v>0.2</c:v>
                </c:pt>
                <c:pt idx="2">
                  <c:v>0.3</c:v>
                </c:pt>
                <c:pt idx="3">
                  <c:v>0.2</c:v>
                </c:pt>
                <c:pt idx="4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5F7-4383-BACE-3B08C997BB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15787791"/>
        <c:axId val="1515780719"/>
      </c:barChart>
      <c:catAx>
        <c:axId val="1515787791"/>
        <c:scaling>
          <c:orientation val="minMax"/>
        </c:scaling>
        <c:delete val="0"/>
        <c:axPos val="b"/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5780719"/>
        <c:crosses val="autoZero"/>
        <c:auto val="1"/>
        <c:lblAlgn val="ctr"/>
        <c:lblOffset val="100"/>
        <c:noMultiLvlLbl val="0"/>
      </c:catAx>
      <c:valAx>
        <c:axId val="15157807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57877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240392</xdr:colOff>
      <xdr:row>28</xdr:row>
      <xdr:rowOff>131536</xdr:rowOff>
    </xdr:from>
    <xdr:to>
      <xdr:col>7</xdr:col>
      <xdr:colOff>562428</xdr:colOff>
      <xdr:row>41</xdr:row>
      <xdr:rowOff>19958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F785653-3FB8-432C-B75C-F2887013959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8"/>
  <sheetViews>
    <sheetView tabSelected="1" topLeftCell="A3" zoomScale="163" zoomScaleNormal="140" workbookViewId="0">
      <selection activeCell="H16" sqref="H16"/>
    </sheetView>
  </sheetViews>
  <sheetFormatPr defaultRowHeight="12.5" x14ac:dyDescent="0.25"/>
  <cols>
    <col min="1" max="1" width="21.81640625" customWidth="1"/>
    <col min="2" max="2" width="6.81640625" customWidth="1"/>
    <col min="5" max="5" width="11" customWidth="1"/>
    <col min="7" max="7" width="17.453125" customWidth="1"/>
  </cols>
  <sheetData>
    <row r="1" spans="1:9" ht="15" x14ac:dyDescent="0.3">
      <c r="A1" t="s">
        <v>0</v>
      </c>
      <c r="B1" s="4" t="s">
        <v>1</v>
      </c>
      <c r="C1" s="1">
        <v>3</v>
      </c>
      <c r="E1" s="2" t="s">
        <v>2</v>
      </c>
      <c r="F1" s="3">
        <f>AVERAGE(C1:C5)</f>
        <v>2.6</v>
      </c>
    </row>
    <row r="2" spans="1:9" ht="15" x14ac:dyDescent="0.3">
      <c r="A2" t="s">
        <v>3</v>
      </c>
      <c r="B2" s="4" t="s">
        <v>4</v>
      </c>
      <c r="C2" s="1">
        <v>4</v>
      </c>
      <c r="E2" s="2" t="s">
        <v>5</v>
      </c>
      <c r="F2" s="2">
        <f>STDEVP(C1:C5)</f>
        <v>1.019803902718557</v>
      </c>
    </row>
    <row r="3" spans="1:9" ht="13" x14ac:dyDescent="0.3">
      <c r="A3" t="s">
        <v>6</v>
      </c>
      <c r="B3" s="4" t="s">
        <v>7</v>
      </c>
      <c r="C3" s="1">
        <v>2</v>
      </c>
    </row>
    <row r="4" spans="1:9" ht="13" x14ac:dyDescent="0.3">
      <c r="A4" t="s">
        <v>8</v>
      </c>
      <c r="B4" s="4" t="s">
        <v>9</v>
      </c>
      <c r="C4" s="1">
        <v>3</v>
      </c>
    </row>
    <row r="5" spans="1:9" ht="13" x14ac:dyDescent="0.3">
      <c r="A5" t="s">
        <v>10</v>
      </c>
      <c r="B5" s="4" t="s">
        <v>11</v>
      </c>
      <c r="C5" s="1">
        <v>1</v>
      </c>
    </row>
    <row r="6" spans="1:9" ht="13" x14ac:dyDescent="0.3">
      <c r="A6" s="16"/>
      <c r="B6" s="39"/>
      <c r="C6" s="40"/>
      <c r="D6" s="16"/>
      <c r="E6" s="16"/>
      <c r="F6" s="16"/>
      <c r="G6" s="16"/>
    </row>
    <row r="7" spans="1:9" s="12" customFormat="1" ht="15" x14ac:dyDescent="0.3">
      <c r="A7" s="19"/>
      <c r="B7" s="41" t="s">
        <v>1</v>
      </c>
      <c r="C7" s="41" t="s">
        <v>4</v>
      </c>
      <c r="D7" s="41" t="s">
        <v>7</v>
      </c>
      <c r="E7" s="41" t="s">
        <v>9</v>
      </c>
      <c r="F7" s="41" t="s">
        <v>11</v>
      </c>
      <c r="G7" s="41" t="s">
        <v>2</v>
      </c>
      <c r="H7" s="38"/>
      <c r="I7" s="36"/>
    </row>
    <row r="8" spans="1:9" s="16" customFormat="1" ht="17.5" x14ac:dyDescent="0.35">
      <c r="A8" s="19"/>
      <c r="B8" s="14">
        <f>C1</f>
        <v>3</v>
      </c>
      <c r="C8" s="14">
        <f>C2</f>
        <v>4</v>
      </c>
      <c r="D8" s="14">
        <f>C3</f>
        <v>2</v>
      </c>
      <c r="E8" s="14">
        <f>C4</f>
        <v>3</v>
      </c>
      <c r="F8" s="14">
        <f>C5</f>
        <v>1</v>
      </c>
      <c r="G8" s="15"/>
      <c r="H8" s="37"/>
      <c r="I8" s="34"/>
    </row>
    <row r="9" spans="1:9" s="16" customFormat="1" x14ac:dyDescent="0.25">
      <c r="A9" s="19" t="s">
        <v>12</v>
      </c>
      <c r="B9" s="17">
        <f t="shared" ref="B9:B14" si="0">$B$8</f>
        <v>3</v>
      </c>
      <c r="C9" s="17">
        <f>$C$8</f>
        <v>4</v>
      </c>
      <c r="D9" s="17">
        <f>$D$8</f>
        <v>2</v>
      </c>
      <c r="E9" s="17"/>
      <c r="F9" s="17"/>
      <c r="G9" s="18">
        <f>AVERAGE(B9:F9)</f>
        <v>3</v>
      </c>
      <c r="H9" s="12"/>
    </row>
    <row r="10" spans="1:9" s="16" customFormat="1" x14ac:dyDescent="0.25">
      <c r="A10" s="13" t="s">
        <v>13</v>
      </c>
      <c r="B10" s="17">
        <f t="shared" si="0"/>
        <v>3</v>
      </c>
      <c r="C10" s="17">
        <f>$C$8</f>
        <v>4</v>
      </c>
      <c r="D10" s="17"/>
      <c r="E10" s="17">
        <f>$E$8</f>
        <v>3</v>
      </c>
      <c r="F10" s="17"/>
      <c r="G10" s="18">
        <f t="shared" ref="G10:G18" si="1">AVERAGE(B10:F10)</f>
        <v>3.3333333333333335</v>
      </c>
    </row>
    <row r="11" spans="1:9" s="16" customFormat="1" x14ac:dyDescent="0.25">
      <c r="A11" s="13" t="s">
        <v>14</v>
      </c>
      <c r="B11" s="17">
        <f t="shared" si="0"/>
        <v>3</v>
      </c>
      <c r="C11" s="17">
        <f>$C$8</f>
        <v>4</v>
      </c>
      <c r="D11" s="17"/>
      <c r="E11" s="17"/>
      <c r="F11" s="17">
        <f>$F$8</f>
        <v>1</v>
      </c>
      <c r="G11" s="18">
        <f t="shared" si="1"/>
        <v>2.6666666666666665</v>
      </c>
    </row>
    <row r="12" spans="1:9" s="16" customFormat="1" x14ac:dyDescent="0.25">
      <c r="A12" s="13" t="s">
        <v>15</v>
      </c>
      <c r="B12" s="17">
        <f t="shared" si="0"/>
        <v>3</v>
      </c>
      <c r="C12" s="17"/>
      <c r="D12" s="17">
        <f>$D$8</f>
        <v>2</v>
      </c>
      <c r="E12" s="17">
        <f>$E$8</f>
        <v>3</v>
      </c>
      <c r="F12" s="17"/>
      <c r="G12" s="18">
        <f t="shared" si="1"/>
        <v>2.6666666666666665</v>
      </c>
    </row>
    <row r="13" spans="1:9" s="16" customFormat="1" x14ac:dyDescent="0.25">
      <c r="A13" s="13" t="s">
        <v>16</v>
      </c>
      <c r="B13" s="17">
        <f t="shared" si="0"/>
        <v>3</v>
      </c>
      <c r="C13" s="17"/>
      <c r="D13" s="17">
        <f>$D$8</f>
        <v>2</v>
      </c>
      <c r="E13" s="17"/>
      <c r="F13" s="17">
        <f>$F$8</f>
        <v>1</v>
      </c>
      <c r="G13" s="18">
        <f t="shared" si="1"/>
        <v>2</v>
      </c>
    </row>
    <row r="14" spans="1:9" s="16" customFormat="1" x14ac:dyDescent="0.25">
      <c r="A14" s="13" t="s">
        <v>17</v>
      </c>
      <c r="B14" s="17">
        <f t="shared" si="0"/>
        <v>3</v>
      </c>
      <c r="C14" s="17"/>
      <c r="D14" s="17"/>
      <c r="E14" s="17">
        <f>$E$8</f>
        <v>3</v>
      </c>
      <c r="F14" s="17">
        <f>$F$8</f>
        <v>1</v>
      </c>
      <c r="G14" s="18">
        <f t="shared" si="1"/>
        <v>2.3333333333333335</v>
      </c>
    </row>
    <row r="15" spans="1:9" s="16" customFormat="1" x14ac:dyDescent="0.25">
      <c r="A15" s="13" t="s">
        <v>18</v>
      </c>
      <c r="B15" s="17"/>
      <c r="C15" s="17">
        <f>$C$8</f>
        <v>4</v>
      </c>
      <c r="D15" s="17">
        <f>$D$8</f>
        <v>2</v>
      </c>
      <c r="E15" s="17">
        <f>$E$8</f>
        <v>3</v>
      </c>
      <c r="F15" s="17"/>
      <c r="G15" s="18">
        <f t="shared" si="1"/>
        <v>3</v>
      </c>
    </row>
    <row r="16" spans="1:9" s="16" customFormat="1" x14ac:dyDescent="0.25">
      <c r="A16" s="13" t="s">
        <v>19</v>
      </c>
      <c r="B16" s="17"/>
      <c r="C16" s="17">
        <f>$C$8</f>
        <v>4</v>
      </c>
      <c r="D16" s="17">
        <f>$D$8</f>
        <v>2</v>
      </c>
      <c r="E16" s="17"/>
      <c r="F16" s="17">
        <f>$F$8</f>
        <v>1</v>
      </c>
      <c r="G16" s="18">
        <f t="shared" si="1"/>
        <v>2.3333333333333335</v>
      </c>
    </row>
    <row r="17" spans="1:7" s="16" customFormat="1" x14ac:dyDescent="0.25">
      <c r="A17" s="13" t="s">
        <v>20</v>
      </c>
      <c r="B17" s="17"/>
      <c r="C17" s="17">
        <f>$C$8</f>
        <v>4</v>
      </c>
      <c r="D17" s="17"/>
      <c r="E17" s="17">
        <f>$E$8</f>
        <v>3</v>
      </c>
      <c r="F17" s="17">
        <f>$F$8</f>
        <v>1</v>
      </c>
      <c r="G17" s="18">
        <f t="shared" si="1"/>
        <v>2.6666666666666665</v>
      </c>
    </row>
    <row r="18" spans="1:7" s="16" customFormat="1" x14ac:dyDescent="0.25">
      <c r="A18" s="13" t="s">
        <v>21</v>
      </c>
      <c r="B18" s="17"/>
      <c r="C18" s="17"/>
      <c r="D18" s="17">
        <f>$D$8</f>
        <v>2</v>
      </c>
      <c r="E18" s="17">
        <f>$E$8</f>
        <v>3</v>
      </c>
      <c r="F18" s="17">
        <f>$F$8</f>
        <v>1</v>
      </c>
      <c r="G18" s="18">
        <f t="shared" si="1"/>
        <v>2</v>
      </c>
    </row>
    <row r="19" spans="1:7" s="16" customFormat="1" ht="15.5" x14ac:dyDescent="0.35">
      <c r="A19" s="13"/>
      <c r="B19" s="19"/>
      <c r="C19" s="19"/>
      <c r="D19" s="20"/>
      <c r="E19" s="20"/>
      <c r="F19" s="20" t="s">
        <v>2</v>
      </c>
      <c r="G19" s="21">
        <f>AVERAGE(G9:G18)</f>
        <v>2.6</v>
      </c>
    </row>
    <row r="20" spans="1:7" s="16" customFormat="1" ht="15.5" x14ac:dyDescent="0.35">
      <c r="A20" s="13"/>
      <c r="B20" s="19"/>
      <c r="C20" s="19"/>
      <c r="D20" s="20"/>
      <c r="E20" s="20"/>
      <c r="F20" s="20" t="s">
        <v>5</v>
      </c>
      <c r="G20" s="22">
        <f>_xlfn.STDEV.P(G9:G18)</f>
        <v>0.41633319989322565</v>
      </c>
    </row>
    <row r="21" spans="1:7" s="16" customFormat="1" ht="15.5" x14ac:dyDescent="0.35">
      <c r="A21" s="13"/>
      <c r="B21" s="19"/>
      <c r="C21" s="19"/>
      <c r="D21" s="20" t="s">
        <v>22</v>
      </c>
      <c r="E21" s="20"/>
      <c r="F21" s="20"/>
      <c r="G21" s="23"/>
    </row>
    <row r="22" spans="1:7" s="16" customFormat="1" ht="15" x14ac:dyDescent="0.3">
      <c r="A22" s="24" t="s">
        <v>24</v>
      </c>
      <c r="B22" s="25" t="s">
        <v>23</v>
      </c>
      <c r="C22" s="19" t="s">
        <v>25</v>
      </c>
      <c r="D22" s="25"/>
      <c r="E22" s="25"/>
      <c r="F22" s="19"/>
      <c r="G22" s="19"/>
    </row>
    <row r="23" spans="1:7" s="16" customFormat="1" x14ac:dyDescent="0.25">
      <c r="A23" s="26">
        <v>2</v>
      </c>
      <c r="B23" s="27">
        <v>2</v>
      </c>
      <c r="C23" s="28">
        <f>B23/10</f>
        <v>0.2</v>
      </c>
      <c r="D23" s="29"/>
      <c r="E23" s="17"/>
      <c r="F23" s="19"/>
      <c r="G23" s="19"/>
    </row>
    <row r="24" spans="1:7" s="16" customFormat="1" x14ac:dyDescent="0.25">
      <c r="A24" s="26">
        <v>2.33</v>
      </c>
      <c r="B24" s="27">
        <v>2</v>
      </c>
      <c r="C24" s="28">
        <f>B24/10</f>
        <v>0.2</v>
      </c>
      <c r="D24" s="29"/>
      <c r="E24" s="17"/>
      <c r="F24" s="19"/>
      <c r="G24" s="19"/>
    </row>
    <row r="25" spans="1:7" s="16" customFormat="1" x14ac:dyDescent="0.25">
      <c r="A25" s="26">
        <v>2.67</v>
      </c>
      <c r="B25" s="27">
        <v>3</v>
      </c>
      <c r="C25" s="28">
        <f>B25/10</f>
        <v>0.3</v>
      </c>
      <c r="D25" s="29"/>
      <c r="E25" s="17"/>
      <c r="F25" s="19"/>
      <c r="G25" s="19"/>
    </row>
    <row r="26" spans="1:7" s="16" customFormat="1" x14ac:dyDescent="0.25">
      <c r="A26" s="26">
        <v>3</v>
      </c>
      <c r="B26" s="27">
        <v>2</v>
      </c>
      <c r="C26" s="28">
        <f>B26/10</f>
        <v>0.2</v>
      </c>
      <c r="D26" s="29"/>
      <c r="E26" s="17"/>
      <c r="F26" s="19"/>
      <c r="G26" s="19"/>
    </row>
    <row r="27" spans="1:7" s="16" customFormat="1" x14ac:dyDescent="0.25">
      <c r="A27" s="26">
        <v>3.33</v>
      </c>
      <c r="B27" s="27">
        <v>1</v>
      </c>
      <c r="C27" s="28">
        <f>B27/10</f>
        <v>0.1</v>
      </c>
      <c r="D27" s="29"/>
      <c r="E27" s="17"/>
      <c r="F27" s="19"/>
      <c r="G27" s="19"/>
    </row>
    <row r="28" spans="1:7" s="16" customFormat="1" x14ac:dyDescent="0.25">
      <c r="A28" s="30" t="s">
        <v>32</v>
      </c>
      <c r="B28" s="27">
        <f>SUM(B23:B27)</f>
        <v>10</v>
      </c>
      <c r="C28" s="28">
        <f>SUMPRODUCT(A23:A27,C23:C27)</f>
        <v>2.6000000000000005</v>
      </c>
      <c r="D28" s="29"/>
      <c r="E28" s="17"/>
      <c r="F28" s="19"/>
      <c r="G28" s="19"/>
    </row>
    <row r="29" spans="1:7" s="16" customFormat="1" x14ac:dyDescent="0.25">
      <c r="A29" s="13"/>
      <c r="B29" s="31"/>
      <c r="C29" s="19"/>
      <c r="D29" s="29"/>
      <c r="E29" s="17"/>
      <c r="F29" s="19"/>
      <c r="G29" s="19"/>
    </row>
    <row r="30" spans="1:7" s="16" customFormat="1" x14ac:dyDescent="0.25">
      <c r="A30" s="13"/>
      <c r="B30" s="31"/>
      <c r="C30" s="19"/>
      <c r="D30" s="19"/>
      <c r="E30" s="17"/>
      <c r="F30" s="19"/>
      <c r="G30" s="19"/>
    </row>
    <row r="31" spans="1:7" s="16" customFormat="1" x14ac:dyDescent="0.25">
      <c r="A31" s="13"/>
      <c r="B31" s="31"/>
      <c r="C31" s="19"/>
      <c r="D31" s="19"/>
      <c r="E31" s="19"/>
      <c r="F31" s="19"/>
      <c r="G31" s="19"/>
    </row>
    <row r="32" spans="1:7" s="16" customFormat="1" x14ac:dyDescent="0.25">
      <c r="A32" s="13"/>
      <c r="B32" s="31"/>
      <c r="C32" s="19"/>
      <c r="D32" s="19"/>
      <c r="E32" s="19"/>
      <c r="F32" s="19"/>
      <c r="G32" s="19"/>
    </row>
    <row r="33" spans="1:7" s="16" customFormat="1" x14ac:dyDescent="0.25">
      <c r="A33" s="13"/>
      <c r="B33" s="19"/>
      <c r="C33" s="19"/>
      <c r="D33" s="19"/>
      <c r="E33" s="19"/>
      <c r="F33" s="19"/>
      <c r="G33" s="19"/>
    </row>
    <row r="34" spans="1:7" s="16" customFormat="1" x14ac:dyDescent="0.25">
      <c r="A34" s="13"/>
      <c r="B34" s="19"/>
      <c r="C34" s="19"/>
      <c r="D34" s="19"/>
      <c r="E34" s="19"/>
      <c r="F34" s="19"/>
      <c r="G34" s="19"/>
    </row>
    <row r="35" spans="1:7" s="16" customFormat="1" x14ac:dyDescent="0.25">
      <c r="A35" s="13"/>
      <c r="B35" s="19"/>
      <c r="C35" s="19"/>
      <c r="D35" s="19"/>
      <c r="E35" s="19"/>
      <c r="F35" s="19"/>
      <c r="G35" s="19"/>
    </row>
    <row r="36" spans="1:7" s="16" customFormat="1" x14ac:dyDescent="0.25">
      <c r="A36" s="13"/>
      <c r="B36" s="19"/>
      <c r="C36" s="19"/>
      <c r="D36" s="19"/>
      <c r="E36" s="19"/>
      <c r="F36" s="19"/>
      <c r="G36" s="19"/>
    </row>
    <row r="37" spans="1:7" s="16" customFormat="1" x14ac:dyDescent="0.25">
      <c r="A37" s="13"/>
      <c r="B37" s="19"/>
      <c r="C37" s="19"/>
      <c r="D37" s="19"/>
      <c r="E37" s="19"/>
      <c r="F37" s="19"/>
      <c r="G37" s="19"/>
    </row>
    <row r="38" spans="1:7" s="16" customFormat="1" x14ac:dyDescent="0.25">
      <c r="A38" s="13"/>
      <c r="B38" s="19"/>
      <c r="C38" s="19"/>
      <c r="D38" s="19"/>
      <c r="E38" s="19"/>
      <c r="F38" s="19"/>
      <c r="G38" s="19"/>
    </row>
    <row r="39" spans="1:7" s="16" customFormat="1" x14ac:dyDescent="0.25">
      <c r="A39" s="13"/>
      <c r="B39" s="19"/>
      <c r="C39" s="19"/>
      <c r="D39" s="19"/>
      <c r="E39" s="19"/>
      <c r="F39" s="19"/>
      <c r="G39" s="19"/>
    </row>
    <row r="40" spans="1:7" s="16" customFormat="1" x14ac:dyDescent="0.25">
      <c r="A40" s="13"/>
      <c r="B40" s="19"/>
      <c r="C40" s="19"/>
      <c r="D40" s="19"/>
      <c r="E40" s="19"/>
      <c r="F40" s="19"/>
      <c r="G40" s="19"/>
    </row>
    <row r="41" spans="1:7" s="16" customFormat="1" x14ac:dyDescent="0.25">
      <c r="A41" s="13"/>
      <c r="B41" s="19"/>
      <c r="C41" s="19"/>
      <c r="D41" s="19"/>
      <c r="E41" s="19"/>
      <c r="F41" s="19"/>
      <c r="G41" s="19"/>
    </row>
    <row r="42" spans="1:7" s="16" customFormat="1" x14ac:dyDescent="0.25">
      <c r="A42" s="13"/>
      <c r="B42" s="19"/>
      <c r="C42" s="19"/>
      <c r="D42" s="19"/>
      <c r="E42" s="19"/>
      <c r="F42" s="19"/>
      <c r="G42" s="19"/>
    </row>
    <row r="43" spans="1:7" s="16" customFormat="1" x14ac:dyDescent="0.25">
      <c r="A43" s="13"/>
      <c r="B43" s="19"/>
      <c r="C43" s="19"/>
      <c r="D43" s="19"/>
      <c r="E43" s="19"/>
      <c r="F43" s="19"/>
      <c r="G43" s="19"/>
    </row>
    <row r="44" spans="1:7" s="16" customFormat="1" x14ac:dyDescent="0.25">
      <c r="A44" s="13"/>
      <c r="B44" s="19"/>
      <c r="C44" s="19"/>
      <c r="D44" s="19"/>
      <c r="E44" s="19"/>
      <c r="F44" s="19"/>
      <c r="G44" s="19"/>
    </row>
    <row r="45" spans="1:7" s="16" customFormat="1" x14ac:dyDescent="0.25">
      <c r="A45" s="13"/>
      <c r="B45" s="19"/>
      <c r="C45" s="19"/>
      <c r="D45" s="19"/>
      <c r="E45" s="19"/>
      <c r="F45" s="19"/>
      <c r="G45" s="19"/>
    </row>
    <row r="46" spans="1:7" s="16" customFormat="1" x14ac:dyDescent="0.25">
      <c r="A46" s="13"/>
      <c r="B46" s="19"/>
      <c r="C46" s="19"/>
      <c r="D46" s="19"/>
      <c r="E46" s="19"/>
      <c r="F46" s="19"/>
      <c r="G46" s="19"/>
    </row>
    <row r="47" spans="1:7" s="16" customFormat="1" x14ac:dyDescent="0.25">
      <c r="A47" s="13"/>
      <c r="B47" s="19"/>
      <c r="C47" s="19"/>
      <c r="D47" s="19"/>
      <c r="E47" s="19"/>
      <c r="F47" s="19"/>
      <c r="G47" s="19"/>
    </row>
    <row r="48" spans="1:7" s="16" customFormat="1" x14ac:dyDescent="0.25">
      <c r="A48" s="13"/>
      <c r="B48" s="19"/>
      <c r="C48" s="19"/>
      <c r="D48" s="19"/>
      <c r="E48" s="19"/>
      <c r="F48" s="19"/>
      <c r="G48" s="19"/>
    </row>
    <row r="49" spans="1:7" s="16" customFormat="1" x14ac:dyDescent="0.25">
      <c r="A49" s="13"/>
      <c r="B49" s="19"/>
      <c r="C49" s="19"/>
      <c r="D49" s="19"/>
      <c r="E49" s="19"/>
      <c r="F49" s="19"/>
      <c r="G49" s="19"/>
    </row>
    <row r="50" spans="1:7" s="16" customFormat="1" x14ac:dyDescent="0.25">
      <c r="A50" s="13"/>
      <c r="B50" s="19"/>
      <c r="C50" s="19"/>
      <c r="D50" s="19"/>
      <c r="E50" s="19"/>
      <c r="F50" s="19"/>
      <c r="G50" s="19"/>
    </row>
    <row r="51" spans="1:7" s="16" customFormat="1" x14ac:dyDescent="0.25">
      <c r="A51" s="13"/>
      <c r="B51" s="19"/>
      <c r="C51" s="19"/>
      <c r="D51" s="19"/>
      <c r="E51" s="19"/>
      <c r="F51" s="19"/>
      <c r="G51" s="19"/>
    </row>
    <row r="52" spans="1:7" s="16" customFormat="1" x14ac:dyDescent="0.25">
      <c r="A52" s="13"/>
      <c r="B52" s="19"/>
      <c r="C52" s="19"/>
      <c r="D52" s="19"/>
      <c r="E52" s="19"/>
      <c r="F52" s="19"/>
      <c r="G52" s="19"/>
    </row>
    <row r="53" spans="1:7" s="16" customFormat="1" x14ac:dyDescent="0.25">
      <c r="A53" s="13"/>
      <c r="B53" s="19"/>
      <c r="C53" s="19"/>
      <c r="D53" s="19"/>
      <c r="E53" s="19"/>
      <c r="F53" s="19"/>
      <c r="G53" s="19"/>
    </row>
    <row r="54" spans="1:7" s="16" customFormat="1" x14ac:dyDescent="0.25">
      <c r="A54" s="13"/>
      <c r="B54" s="19"/>
      <c r="C54" s="19"/>
      <c r="D54" s="19"/>
      <c r="E54" s="19"/>
      <c r="F54" s="19"/>
      <c r="G54" s="19"/>
    </row>
    <row r="55" spans="1:7" s="16" customFormat="1" x14ac:dyDescent="0.25">
      <c r="A55" s="13"/>
      <c r="B55" s="19"/>
      <c r="C55" s="19"/>
      <c r="D55" s="19"/>
      <c r="E55" s="19"/>
      <c r="F55" s="19"/>
      <c r="G55" s="19"/>
    </row>
    <row r="56" spans="1:7" s="16" customFormat="1" x14ac:dyDescent="0.25">
      <c r="A56" s="13"/>
      <c r="B56" s="19"/>
      <c r="C56" s="19"/>
      <c r="D56" s="19"/>
      <c r="E56" s="19"/>
      <c r="F56" s="19"/>
      <c r="G56" s="19"/>
    </row>
    <row r="57" spans="1:7" s="16" customFormat="1" x14ac:dyDescent="0.25">
      <c r="A57" s="13"/>
      <c r="B57" s="19"/>
      <c r="C57" s="19"/>
      <c r="D57" s="19"/>
      <c r="E57" s="19"/>
      <c r="F57" s="19"/>
      <c r="G57" s="19"/>
    </row>
    <row r="58" spans="1:7" s="16" customFormat="1" x14ac:dyDescent="0.25">
      <c r="A58" s="13"/>
      <c r="B58" s="19"/>
      <c r="C58" s="19"/>
      <c r="D58" s="19"/>
      <c r="E58" s="19"/>
      <c r="F58" s="19"/>
      <c r="G58" s="19"/>
    </row>
    <row r="59" spans="1:7" s="16" customFormat="1" x14ac:dyDescent="0.25">
      <c r="A59" s="13"/>
      <c r="B59" s="19"/>
      <c r="C59" s="19"/>
      <c r="D59" s="19"/>
      <c r="E59" s="19"/>
      <c r="F59" s="19"/>
      <c r="G59" s="19"/>
    </row>
    <row r="60" spans="1:7" s="16" customFormat="1" x14ac:dyDescent="0.25">
      <c r="A60" s="13"/>
      <c r="B60" s="19"/>
      <c r="C60" s="19"/>
      <c r="D60" s="19"/>
      <c r="E60" s="19"/>
      <c r="F60" s="19"/>
      <c r="G60" s="19"/>
    </row>
    <row r="61" spans="1:7" s="16" customFormat="1" x14ac:dyDescent="0.25">
      <c r="A61" s="13"/>
      <c r="B61" s="19"/>
      <c r="C61" s="19"/>
      <c r="D61" s="19"/>
      <c r="E61" s="19"/>
      <c r="F61" s="19"/>
      <c r="G61" s="19"/>
    </row>
    <row r="62" spans="1:7" s="16" customFormat="1" x14ac:dyDescent="0.25">
      <c r="A62" s="13"/>
      <c r="B62" s="19"/>
      <c r="C62" s="19"/>
      <c r="D62" s="19"/>
      <c r="E62" s="19"/>
      <c r="F62" s="19"/>
      <c r="G62" s="19"/>
    </row>
    <row r="63" spans="1:7" s="16" customFormat="1" x14ac:dyDescent="0.25">
      <c r="A63" s="13"/>
      <c r="B63" s="19"/>
      <c r="C63" s="19"/>
      <c r="D63" s="19"/>
      <c r="E63" s="19"/>
      <c r="F63" s="19"/>
      <c r="G63" s="19"/>
    </row>
    <row r="64" spans="1:7" s="16" customFormat="1" x14ac:dyDescent="0.25">
      <c r="A64" s="13"/>
      <c r="B64" s="19"/>
      <c r="C64" s="19"/>
      <c r="D64" s="19"/>
      <c r="E64" s="19"/>
      <c r="F64" s="19"/>
      <c r="G64" s="19"/>
    </row>
    <row r="65" spans="1:7" s="16" customFormat="1" x14ac:dyDescent="0.25">
      <c r="A65" s="13"/>
      <c r="B65" s="19"/>
      <c r="C65" s="19"/>
      <c r="D65" s="19"/>
      <c r="E65" s="19"/>
      <c r="F65" s="19"/>
      <c r="G65" s="19"/>
    </row>
    <row r="66" spans="1:7" s="16" customFormat="1" x14ac:dyDescent="0.25">
      <c r="A66" s="13"/>
      <c r="B66" s="19"/>
      <c r="C66" s="19"/>
      <c r="D66" s="19"/>
      <c r="E66" s="19"/>
      <c r="F66" s="19"/>
      <c r="G66" s="19"/>
    </row>
    <row r="67" spans="1:7" s="16" customFormat="1" x14ac:dyDescent="0.25">
      <c r="A67" s="13"/>
      <c r="B67" s="19"/>
      <c r="C67" s="19"/>
      <c r="D67" s="19"/>
      <c r="E67" s="19"/>
      <c r="F67" s="19"/>
      <c r="G67" s="19"/>
    </row>
    <row r="68" spans="1:7" s="16" customFormat="1" x14ac:dyDescent="0.25">
      <c r="A68" s="13"/>
      <c r="B68" s="19"/>
      <c r="C68" s="19"/>
      <c r="D68" s="19"/>
      <c r="E68" s="19"/>
      <c r="F68" s="19"/>
      <c r="G68" s="19"/>
    </row>
    <row r="69" spans="1:7" s="16" customFormat="1" x14ac:dyDescent="0.25">
      <c r="A69" s="13"/>
      <c r="B69" s="19"/>
      <c r="C69" s="19"/>
      <c r="D69" s="19"/>
      <c r="E69" s="19"/>
      <c r="F69" s="19"/>
      <c r="G69" s="19"/>
    </row>
    <row r="70" spans="1:7" s="16" customFormat="1" x14ac:dyDescent="0.25">
      <c r="A70" s="13"/>
      <c r="B70" s="19"/>
      <c r="C70" s="19"/>
      <c r="D70" s="19"/>
      <c r="E70" s="19"/>
      <c r="F70" s="19"/>
      <c r="G70" s="19"/>
    </row>
    <row r="71" spans="1:7" s="16" customFormat="1" x14ac:dyDescent="0.25">
      <c r="A71" s="32"/>
      <c r="B71" s="33"/>
      <c r="C71" s="33"/>
      <c r="D71" s="33"/>
      <c r="E71" s="33"/>
      <c r="F71" s="33"/>
      <c r="G71" s="33"/>
    </row>
    <row r="72" spans="1:7" s="16" customFormat="1" x14ac:dyDescent="0.25">
      <c r="A72" s="32"/>
      <c r="B72" s="33"/>
      <c r="C72" s="33"/>
      <c r="D72" s="33"/>
      <c r="E72" s="33"/>
      <c r="F72" s="33"/>
      <c r="G72" s="33"/>
    </row>
    <row r="73" spans="1:7" s="16" customFormat="1" x14ac:dyDescent="0.25">
      <c r="A73" s="32"/>
      <c r="B73" s="33"/>
      <c r="C73" s="33"/>
      <c r="D73" s="33"/>
      <c r="E73" s="33"/>
      <c r="F73" s="33"/>
      <c r="G73" s="33"/>
    </row>
    <row r="74" spans="1:7" s="16" customFormat="1" x14ac:dyDescent="0.25">
      <c r="A74" s="32"/>
      <c r="B74" s="33"/>
      <c r="C74" s="33"/>
      <c r="D74" s="33"/>
      <c r="E74" s="33"/>
      <c r="F74" s="33"/>
      <c r="G74" s="33"/>
    </row>
    <row r="75" spans="1:7" s="16" customFormat="1" x14ac:dyDescent="0.25">
      <c r="A75" s="32"/>
      <c r="B75" s="33"/>
      <c r="C75" s="33"/>
      <c r="D75" s="33"/>
      <c r="E75" s="33"/>
      <c r="F75" s="33"/>
      <c r="G75" s="33"/>
    </row>
    <row r="76" spans="1:7" s="16" customFormat="1" x14ac:dyDescent="0.25">
      <c r="A76" s="32"/>
      <c r="B76" s="33"/>
      <c r="C76" s="33"/>
      <c r="D76" s="33"/>
      <c r="E76" s="33"/>
      <c r="F76" s="33"/>
      <c r="G76" s="33"/>
    </row>
    <row r="77" spans="1:7" s="16" customFormat="1" x14ac:dyDescent="0.25">
      <c r="A77" s="32"/>
      <c r="B77" s="33"/>
      <c r="C77" s="33"/>
      <c r="D77" s="33"/>
      <c r="E77" s="33"/>
      <c r="F77" s="33"/>
      <c r="G77" s="33"/>
    </row>
    <row r="78" spans="1:7" s="16" customFormat="1" x14ac:dyDescent="0.25">
      <c r="A78" s="32"/>
      <c r="B78" s="33"/>
      <c r="C78" s="33"/>
      <c r="D78" s="33"/>
      <c r="E78" s="33"/>
      <c r="F78" s="33"/>
      <c r="G78" s="33"/>
    </row>
    <row r="79" spans="1:7" s="16" customFormat="1" x14ac:dyDescent="0.25">
      <c r="A79" s="32"/>
      <c r="B79" s="33"/>
      <c r="C79" s="33"/>
      <c r="D79" s="33"/>
      <c r="E79" s="33"/>
      <c r="F79" s="33"/>
      <c r="G79" s="33"/>
    </row>
    <row r="80" spans="1:7" s="16" customFormat="1" x14ac:dyDescent="0.25">
      <c r="A80" s="32"/>
      <c r="B80" s="33"/>
      <c r="C80" s="33"/>
      <c r="D80" s="33"/>
      <c r="E80" s="33"/>
      <c r="F80" s="33"/>
      <c r="G80" s="33"/>
    </row>
    <row r="81" spans="1:7" s="16" customFormat="1" x14ac:dyDescent="0.25">
      <c r="A81" s="32"/>
      <c r="B81" s="33"/>
      <c r="C81" s="33"/>
      <c r="D81" s="33"/>
      <c r="E81" s="33"/>
      <c r="F81" s="33"/>
      <c r="G81" s="33"/>
    </row>
    <row r="82" spans="1:7" s="16" customFormat="1" x14ac:dyDescent="0.25">
      <c r="A82" s="32"/>
      <c r="B82" s="33"/>
      <c r="C82" s="33"/>
      <c r="D82" s="33"/>
      <c r="E82" s="33"/>
      <c r="F82" s="33"/>
      <c r="G82" s="33"/>
    </row>
    <row r="83" spans="1:7" s="16" customFormat="1" x14ac:dyDescent="0.25">
      <c r="A83" s="32"/>
      <c r="B83" s="33"/>
      <c r="C83" s="33"/>
      <c r="D83" s="33"/>
      <c r="E83" s="33"/>
      <c r="F83" s="33"/>
      <c r="G83" s="33"/>
    </row>
    <row r="84" spans="1:7" s="16" customFormat="1" x14ac:dyDescent="0.25">
      <c r="A84" s="32"/>
      <c r="B84" s="33"/>
      <c r="C84" s="33"/>
      <c r="D84" s="33"/>
      <c r="E84" s="33"/>
      <c r="F84" s="33"/>
      <c r="G84" s="33"/>
    </row>
    <row r="85" spans="1:7" s="16" customFormat="1" x14ac:dyDescent="0.25">
      <c r="A85" s="34"/>
    </row>
    <row r="86" spans="1:7" s="16" customFormat="1" x14ac:dyDescent="0.25">
      <c r="A86" s="34"/>
    </row>
    <row r="87" spans="1:7" s="16" customFormat="1" x14ac:dyDescent="0.25">
      <c r="A87" s="34"/>
    </row>
    <row r="88" spans="1:7" s="16" customFormat="1" x14ac:dyDescent="0.25">
      <c r="A88" s="34"/>
    </row>
    <row r="89" spans="1:7" s="16" customFormat="1" x14ac:dyDescent="0.25">
      <c r="A89" s="34"/>
    </row>
    <row r="90" spans="1:7" s="16" customFormat="1" x14ac:dyDescent="0.25">
      <c r="A90" s="34"/>
    </row>
    <row r="91" spans="1:7" s="16" customFormat="1" x14ac:dyDescent="0.25">
      <c r="A91" s="34"/>
    </row>
    <row r="92" spans="1:7" s="16" customFormat="1" x14ac:dyDescent="0.25">
      <c r="A92" s="34"/>
    </row>
    <row r="93" spans="1:7" s="16" customFormat="1" x14ac:dyDescent="0.25">
      <c r="A93" s="34"/>
    </row>
    <row r="94" spans="1:7" s="16" customFormat="1" x14ac:dyDescent="0.25">
      <c r="A94" s="34"/>
    </row>
    <row r="95" spans="1:7" s="16" customFormat="1" x14ac:dyDescent="0.25">
      <c r="A95" s="34"/>
    </row>
    <row r="96" spans="1:7" s="16" customFormat="1" x14ac:dyDescent="0.25">
      <c r="A96" s="34"/>
    </row>
    <row r="97" spans="1:1" s="16" customFormat="1" x14ac:dyDescent="0.25">
      <c r="A97" s="34"/>
    </row>
    <row r="98" spans="1:1" s="34" customFormat="1" x14ac:dyDescent="0.25"/>
    <row r="99" spans="1:1" s="34" customFormat="1" x14ac:dyDescent="0.25"/>
    <row r="100" spans="1:1" s="34" customFormat="1" x14ac:dyDescent="0.25"/>
    <row r="101" spans="1:1" s="34" customFormat="1" x14ac:dyDescent="0.25"/>
    <row r="102" spans="1:1" s="34" customFormat="1" x14ac:dyDescent="0.25"/>
    <row r="103" spans="1:1" s="34" customFormat="1" x14ac:dyDescent="0.25"/>
    <row r="104" spans="1:1" s="34" customFormat="1" x14ac:dyDescent="0.25"/>
    <row r="105" spans="1:1" s="34" customFormat="1" x14ac:dyDescent="0.25"/>
    <row r="106" spans="1:1" s="34" customFormat="1" x14ac:dyDescent="0.25"/>
    <row r="107" spans="1:1" s="34" customFormat="1" x14ac:dyDescent="0.25"/>
    <row r="108" spans="1:1" s="34" customFormat="1" x14ac:dyDescent="0.25"/>
    <row r="109" spans="1:1" s="34" customFormat="1" x14ac:dyDescent="0.25"/>
    <row r="110" spans="1:1" s="34" customFormat="1" x14ac:dyDescent="0.25"/>
    <row r="111" spans="1:1" s="34" customFormat="1" x14ac:dyDescent="0.25"/>
    <row r="112" spans="1:1" s="34" customFormat="1" x14ac:dyDescent="0.25"/>
    <row r="113" s="34" customFormat="1" x14ac:dyDescent="0.25"/>
    <row r="114" s="34" customFormat="1" x14ac:dyDescent="0.25"/>
    <row r="115" s="34" customFormat="1" x14ac:dyDescent="0.25"/>
    <row r="116" s="34" customFormat="1" x14ac:dyDescent="0.25"/>
    <row r="117" s="34" customFormat="1" x14ac:dyDescent="0.25"/>
    <row r="118" s="34" customFormat="1" x14ac:dyDescent="0.25"/>
    <row r="119" s="34" customFormat="1" x14ac:dyDescent="0.25"/>
    <row r="120" s="34" customFormat="1" x14ac:dyDescent="0.25"/>
    <row r="121" s="34" customFormat="1" x14ac:dyDescent="0.25"/>
    <row r="122" s="34" customFormat="1" x14ac:dyDescent="0.25"/>
    <row r="123" s="34" customFormat="1" x14ac:dyDescent="0.25"/>
    <row r="124" s="34" customFormat="1" x14ac:dyDescent="0.25"/>
    <row r="125" s="34" customFormat="1" x14ac:dyDescent="0.25"/>
    <row r="126" s="34" customFormat="1" x14ac:dyDescent="0.25"/>
    <row r="127" s="34" customFormat="1" x14ac:dyDescent="0.25"/>
    <row r="128" s="34" customFormat="1" x14ac:dyDescent="0.25"/>
    <row r="129" s="34" customFormat="1" x14ac:dyDescent="0.25"/>
    <row r="130" s="34" customFormat="1" x14ac:dyDescent="0.25"/>
    <row r="131" s="34" customFormat="1" x14ac:dyDescent="0.25"/>
    <row r="132" s="34" customFormat="1" x14ac:dyDescent="0.25"/>
    <row r="133" s="34" customFormat="1" x14ac:dyDescent="0.25"/>
    <row r="134" s="34" customFormat="1" x14ac:dyDescent="0.25"/>
    <row r="135" s="34" customFormat="1" x14ac:dyDescent="0.25"/>
    <row r="136" s="34" customFormat="1" x14ac:dyDescent="0.25"/>
    <row r="137" s="34" customFormat="1" x14ac:dyDescent="0.25"/>
    <row r="138" s="35" customFormat="1" x14ac:dyDescent="0.25"/>
  </sheetData>
  <phoneticPr fontId="0" type="noConversion"/>
  <pageMargins left="0.75" right="0.75" top="1" bottom="1" header="0.5" footer="0.5"/>
  <pageSetup orientation="portrait" horizontalDpi="4294967293" verticalDpi="3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5"/>
  <sheetViews>
    <sheetView zoomScale="170" zoomScaleNormal="170" workbookViewId="0">
      <selection activeCell="I5" sqref="I5"/>
    </sheetView>
  </sheetViews>
  <sheetFormatPr defaultRowHeight="12.5" x14ac:dyDescent="0.25"/>
  <cols>
    <col min="6" max="6" width="10.1796875" customWidth="1"/>
    <col min="7" max="7" width="11.453125" customWidth="1"/>
  </cols>
  <sheetData>
    <row r="1" spans="1:10" x14ac:dyDescent="0.25">
      <c r="A1" s="5" t="s">
        <v>26</v>
      </c>
      <c r="B1">
        <v>6540</v>
      </c>
      <c r="C1" s="5" t="s">
        <v>27</v>
      </c>
      <c r="D1">
        <v>2000</v>
      </c>
      <c r="E1" s="5" t="s">
        <v>28</v>
      </c>
      <c r="F1">
        <v>144</v>
      </c>
      <c r="G1" s="5" t="s">
        <v>29</v>
      </c>
      <c r="H1">
        <f>D1/F1^0.5</f>
        <v>166.66666666666666</v>
      </c>
    </row>
    <row r="4" spans="1:10" x14ac:dyDescent="0.25">
      <c r="B4" s="1"/>
      <c r="C4" s="8" t="s">
        <v>30</v>
      </c>
      <c r="D4" s="8" t="s">
        <v>31</v>
      </c>
      <c r="E4" s="1"/>
      <c r="F4" s="1"/>
      <c r="G4" s="1" t="s">
        <v>30</v>
      </c>
      <c r="H4" s="1" t="s">
        <v>31</v>
      </c>
      <c r="I4" s="1"/>
      <c r="J4" s="1"/>
    </row>
    <row r="5" spans="1:10" x14ac:dyDescent="0.25">
      <c r="A5" s="6">
        <v>0.9</v>
      </c>
      <c r="B5" s="11">
        <f>-_xlfn.NORM.S.INV(0.05)</f>
        <v>1.6448536269514726</v>
      </c>
      <c r="C5" s="9">
        <f>$B$1-B5*$H$1</f>
        <v>6265.8577288414217</v>
      </c>
      <c r="D5" s="9">
        <f>$B$1+B5*$H$1</f>
        <v>6814.1422711585783</v>
      </c>
      <c r="E5" s="9">
        <f>D5-C5</f>
        <v>548.28454231715659</v>
      </c>
      <c r="F5" s="9"/>
      <c r="G5" s="9">
        <v>5908.3762072506343</v>
      </c>
      <c r="H5" s="9">
        <v>7171.6237927493657</v>
      </c>
      <c r="I5" s="9">
        <v>1263.2475854987315</v>
      </c>
      <c r="J5" s="9"/>
    </row>
    <row r="6" spans="1:10" x14ac:dyDescent="0.25">
      <c r="A6" s="6">
        <v>0.95</v>
      </c>
      <c r="B6" s="11">
        <f>-_xlfn.NORM.S.INV(0.025)</f>
        <v>1.9599639845400538</v>
      </c>
      <c r="C6" s="9">
        <f>$B$1-B6*$H$1</f>
        <v>6213.339335909991</v>
      </c>
      <c r="D6" s="9">
        <f>$B$1+B6*$H$1</f>
        <v>6866.660664090009</v>
      </c>
      <c r="E6" s="9">
        <f>D6-C6</f>
        <v>653.3213281800181</v>
      </c>
      <c r="F6" s="9"/>
      <c r="G6" s="9">
        <v>5787.3738299366196</v>
      </c>
      <c r="H6" s="9">
        <v>7292.6261700633804</v>
      </c>
      <c r="I6" s="9">
        <v>1505.2523401267608</v>
      </c>
      <c r="J6" s="9"/>
    </row>
    <row r="7" spans="1:10" x14ac:dyDescent="0.25">
      <c r="A7" s="6">
        <v>0.99</v>
      </c>
      <c r="B7" s="11">
        <f>-_xlfn.NORM.S.INV(0.005)</f>
        <v>2.5758293035488999</v>
      </c>
      <c r="C7" s="9">
        <f>$B$1-B7*$H$1</f>
        <v>6110.6951160751833</v>
      </c>
      <c r="D7" s="9">
        <f>$B$1+B7*$H$1</f>
        <v>6969.3048839248167</v>
      </c>
      <c r="E7" s="9">
        <f>D7-C7</f>
        <v>858.6097678496335</v>
      </c>
      <c r="F7" s="9"/>
      <c r="G7" s="9">
        <v>5550.8815474372223</v>
      </c>
      <c r="H7" s="9">
        <v>7529.1184525627777</v>
      </c>
      <c r="I7" s="9">
        <v>1978.2369051255555</v>
      </c>
      <c r="J7" s="9"/>
    </row>
    <row r="8" spans="1:10" x14ac:dyDescent="0.25">
      <c r="B8" s="11"/>
      <c r="C8" s="9"/>
      <c r="D8" s="9"/>
      <c r="E8" s="9"/>
      <c r="F8" s="9"/>
      <c r="G8" s="9"/>
      <c r="H8" s="9"/>
      <c r="I8" s="9"/>
      <c r="J8" s="9"/>
    </row>
    <row r="9" spans="1:10" x14ac:dyDescent="0.25">
      <c r="B9" s="11"/>
      <c r="C9" s="9"/>
      <c r="D9" s="9"/>
      <c r="E9" s="9"/>
      <c r="F9" s="9"/>
      <c r="G9" s="9"/>
      <c r="H9" s="9"/>
      <c r="I9" s="9"/>
      <c r="J9" s="9"/>
    </row>
    <row r="10" spans="1:10" x14ac:dyDescent="0.25">
      <c r="B10" s="11"/>
      <c r="C10" s="9"/>
      <c r="D10" s="9"/>
      <c r="E10" s="9"/>
      <c r="F10" s="9"/>
      <c r="G10" s="9"/>
      <c r="H10" s="9"/>
      <c r="I10" s="9"/>
      <c r="J10" s="9"/>
    </row>
    <row r="11" spans="1:10" x14ac:dyDescent="0.25">
      <c r="B11" s="1"/>
      <c r="C11" s="9"/>
      <c r="D11" s="9"/>
      <c r="E11" s="9"/>
      <c r="F11" s="9"/>
      <c r="G11" s="9"/>
      <c r="H11" s="9"/>
      <c r="I11" s="9"/>
      <c r="J11" s="9"/>
    </row>
    <row r="12" spans="1:10" x14ac:dyDescent="0.25">
      <c r="B12" s="1"/>
      <c r="C12" s="9"/>
      <c r="D12" s="9"/>
      <c r="E12" s="9"/>
      <c r="F12" s="9"/>
      <c r="G12" s="9"/>
      <c r="H12" s="9"/>
      <c r="I12" s="9"/>
      <c r="J12" s="9"/>
    </row>
    <row r="13" spans="1:10" x14ac:dyDescent="0.25">
      <c r="B13" s="1"/>
      <c r="C13" s="9"/>
      <c r="D13" s="9"/>
      <c r="E13" s="9"/>
      <c r="F13" s="9"/>
      <c r="G13" s="9"/>
      <c r="H13" s="9"/>
      <c r="I13" s="9"/>
      <c r="J13" s="9"/>
    </row>
    <row r="14" spans="1:10" x14ac:dyDescent="0.25">
      <c r="B14" s="1"/>
      <c r="C14" s="9"/>
      <c r="D14" s="9"/>
      <c r="E14" s="9"/>
      <c r="F14" s="9"/>
      <c r="G14" s="9"/>
      <c r="H14" s="9"/>
      <c r="I14" s="9"/>
      <c r="J14" s="9"/>
    </row>
    <row r="15" spans="1:10" x14ac:dyDescent="0.25">
      <c r="B15" s="1"/>
      <c r="C15" s="1"/>
      <c r="D15" s="1"/>
      <c r="E15" s="1"/>
      <c r="F15" s="1"/>
      <c r="G15" s="1"/>
      <c r="H15" s="1"/>
      <c r="I15" s="1"/>
      <c r="J15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1"/>
  <sheetViews>
    <sheetView zoomScale="180" zoomScaleNormal="180" workbookViewId="0">
      <selection sqref="A1:L8"/>
    </sheetView>
  </sheetViews>
  <sheetFormatPr defaultRowHeight="12.5" x14ac:dyDescent="0.25"/>
  <cols>
    <col min="5" max="5" width="10.54296875" customWidth="1"/>
    <col min="7" max="7" width="9.81640625" customWidth="1"/>
  </cols>
  <sheetData>
    <row r="1" spans="1:10" x14ac:dyDescent="0.25">
      <c r="A1" s="5"/>
      <c r="C1" s="5"/>
      <c r="E1" s="5"/>
      <c r="G1" s="5"/>
    </row>
    <row r="3" spans="1:10" x14ac:dyDescent="0.25">
      <c r="C3" s="8"/>
      <c r="D3" s="8"/>
      <c r="H3" s="9"/>
      <c r="I3" s="9"/>
    </row>
    <row r="4" spans="1:10" x14ac:dyDescent="0.25">
      <c r="A4" s="6"/>
      <c r="C4" s="9"/>
      <c r="D4" s="9"/>
      <c r="E4" s="7"/>
      <c r="H4" s="9"/>
      <c r="I4" s="9"/>
      <c r="J4" s="7"/>
    </row>
    <row r="5" spans="1:10" x14ac:dyDescent="0.25">
      <c r="A5" s="6"/>
      <c r="B5" s="10"/>
      <c r="C5" s="9"/>
      <c r="D5" s="9"/>
      <c r="E5" s="7"/>
      <c r="H5" s="9"/>
      <c r="I5" s="9"/>
      <c r="J5" s="7"/>
    </row>
    <row r="6" spans="1:10" x14ac:dyDescent="0.25">
      <c r="A6" s="6"/>
      <c r="B6" s="10"/>
      <c r="C6" s="9"/>
      <c r="D6" s="9"/>
      <c r="E6" s="7"/>
      <c r="H6" s="9"/>
      <c r="I6" s="9"/>
      <c r="J6" s="7"/>
    </row>
    <row r="7" spans="1:10" x14ac:dyDescent="0.25">
      <c r="C7" s="9"/>
      <c r="D7" s="9"/>
    </row>
    <row r="8" spans="1:10" x14ac:dyDescent="0.25">
      <c r="C8" s="9"/>
      <c r="D8" s="9"/>
    </row>
    <row r="9" spans="1:10" x14ac:dyDescent="0.25">
      <c r="C9" s="9"/>
      <c r="D9" s="9"/>
    </row>
    <row r="10" spans="1:10" x14ac:dyDescent="0.25">
      <c r="C10" s="1"/>
      <c r="D10" s="1"/>
    </row>
    <row r="11" spans="1:10" x14ac:dyDescent="0.25">
      <c r="C11" s="1"/>
      <c r="D11" s="1"/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iimb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iim</dc:creator>
  <cp:lastModifiedBy>Nagadevara V</cp:lastModifiedBy>
  <dcterms:created xsi:type="dcterms:W3CDTF">2004-08-16T03:38:04Z</dcterms:created>
  <dcterms:modified xsi:type="dcterms:W3CDTF">2021-01-20T14:45:20Z</dcterms:modified>
</cp:coreProperties>
</file>