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3530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400983\AppData\Local\Microsoft\Windows\INetCache\Content.Outlook\UHUC5F64\"/>
    </mc:Choice>
  </mc:AlternateContent>
  <xr:revisionPtr revIDLastSave="0" documentId="13_ncr:1_{DC9AAA96-575B-4B33-A321-A9EE18BDA80B}" xr6:coauthVersionLast="46" xr6:coauthVersionMax="46" xr10:uidLastSave="{00000000-0000-0000-0000-000000000000}"/>
  <bookViews>
    <workbookView xWindow="-110" yWindow="-110" windowWidth="21820" windowHeight="14020" xr2:uid="{00000000-000D-0000-FFFF-FFFF00000000}"/>
  </bookViews>
  <sheets>
    <sheet name="Normal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S20" i="1" l="1"/>
  <c r="S6" i="1"/>
  <c r="J25" i="1"/>
  <c r="J24" i="1"/>
  <c r="J23" i="1"/>
  <c r="L37" i="1"/>
  <c r="L35" i="1"/>
  <c r="M35" i="1"/>
  <c r="A2" i="1"/>
  <c r="B2" i="1" s="1"/>
  <c r="W4" i="1"/>
  <c r="W5" i="1"/>
  <c r="X5" i="1"/>
  <c r="A3" i="1" l="1"/>
  <c r="B3" i="1" l="1"/>
  <c r="A4" i="1"/>
  <c r="A5" i="1" l="1"/>
  <c r="B4" i="1"/>
  <c r="B5" i="1" l="1"/>
  <c r="A6" i="1"/>
  <c r="B6" i="1" l="1"/>
  <c r="A7" i="1"/>
  <c r="B7" i="1" l="1"/>
  <c r="A8" i="1"/>
  <c r="B8" i="1" l="1"/>
  <c r="A9" i="1"/>
  <c r="A10" i="1" l="1"/>
  <c r="B9" i="1"/>
  <c r="B10" i="1" l="1"/>
  <c r="A11" i="1"/>
  <c r="B11" i="1" l="1"/>
  <c r="A12" i="1"/>
  <c r="B12" i="1" l="1"/>
  <c r="A13" i="1"/>
  <c r="A14" i="1" l="1"/>
  <c r="B13" i="1"/>
  <c r="B14" i="1" l="1"/>
  <c r="A15" i="1"/>
  <c r="B15" i="1" l="1"/>
  <c r="A16" i="1"/>
  <c r="B16" i="1" l="1"/>
  <c r="A17" i="1"/>
  <c r="B17" i="1" l="1"/>
  <c r="A18" i="1"/>
  <c r="A19" i="1" l="1"/>
  <c r="B18" i="1"/>
  <c r="A20" i="1" l="1"/>
  <c r="B19" i="1"/>
  <c r="B20" i="1" l="1"/>
  <c r="A21" i="1"/>
  <c r="B21" i="1" l="1"/>
  <c r="A22" i="1"/>
  <c r="B22" i="1" l="1"/>
  <c r="A23" i="1"/>
  <c r="A24" i="1" l="1"/>
  <c r="B23" i="1"/>
  <c r="B24" i="1" l="1"/>
  <c r="A25" i="1"/>
  <c r="B25" i="1" l="1"/>
  <c r="A26" i="1"/>
  <c r="B26" i="1" l="1"/>
  <c r="A27" i="1"/>
  <c r="A28" i="1" l="1"/>
  <c r="B27" i="1"/>
  <c r="B28" i="1" l="1"/>
  <c r="A29" i="1"/>
  <c r="B29" i="1" l="1"/>
  <c r="A30" i="1"/>
  <c r="A31" i="1" l="1"/>
  <c r="B30" i="1"/>
  <c r="B31" i="1" l="1"/>
  <c r="A32" i="1"/>
  <c r="B32" i="1" l="1"/>
  <c r="A33" i="1"/>
  <c r="B33" i="1" l="1"/>
  <c r="A34" i="1"/>
  <c r="B34" i="1" l="1"/>
  <c r="A35" i="1"/>
  <c r="A36" i="1" l="1"/>
  <c r="B35" i="1"/>
  <c r="B36" i="1" l="1"/>
  <c r="A37" i="1"/>
  <c r="B37" i="1" l="1"/>
  <c r="A38" i="1"/>
  <c r="B38" i="1" l="1"/>
  <c r="A39" i="1"/>
  <c r="A40" i="1" l="1"/>
  <c r="B39" i="1"/>
  <c r="B40" i="1" l="1"/>
  <c r="A41" i="1"/>
  <c r="B41" i="1" l="1"/>
  <c r="A42" i="1"/>
  <c r="B42" i="1" l="1"/>
  <c r="A43" i="1"/>
  <c r="A44" i="1" l="1"/>
  <c r="B43" i="1"/>
  <c r="B44" i="1" l="1"/>
  <c r="A45" i="1"/>
  <c r="B45" i="1" l="1"/>
  <c r="A46" i="1"/>
  <c r="B46" i="1" l="1"/>
  <c r="A47" i="1"/>
  <c r="A48" i="1" l="1"/>
  <c r="B47" i="1"/>
  <c r="A49" i="1" l="1"/>
  <c r="B48" i="1"/>
  <c r="B49" i="1" l="1"/>
  <c r="A50" i="1"/>
  <c r="B50" i="1" l="1"/>
  <c r="A51" i="1"/>
  <c r="B51" i="1" l="1"/>
  <c r="A52" i="1"/>
  <c r="B52" i="1" l="1"/>
  <c r="A53" i="1"/>
  <c r="A54" i="1" l="1"/>
  <c r="B53" i="1"/>
  <c r="B54" i="1" l="1"/>
  <c r="A55" i="1"/>
  <c r="B55" i="1" l="1"/>
  <c r="A56" i="1"/>
  <c r="B56" i="1" l="1"/>
  <c r="A57" i="1"/>
  <c r="A58" i="1" l="1"/>
  <c r="B57" i="1"/>
  <c r="B58" i="1" l="1"/>
  <c r="A59" i="1"/>
  <c r="B59" i="1" l="1"/>
  <c r="A60" i="1"/>
  <c r="B60" i="1" l="1"/>
  <c r="A61" i="1"/>
  <c r="B61" i="1" l="1"/>
  <c r="A62" i="1"/>
  <c r="B62" i="1" l="1"/>
  <c r="A63" i="1"/>
  <c r="A64" i="1" l="1"/>
  <c r="B63" i="1"/>
  <c r="B64" i="1" l="1"/>
  <c r="A65" i="1"/>
  <c r="B65" i="1" l="1"/>
  <c r="A66" i="1"/>
  <c r="B66" i="1" l="1"/>
  <c r="A67" i="1"/>
  <c r="A68" i="1" l="1"/>
  <c r="B67" i="1"/>
  <c r="B68" i="1" l="1"/>
  <c r="A69" i="1"/>
  <c r="B69" i="1" l="1"/>
  <c r="A70" i="1"/>
  <c r="B70" i="1" l="1"/>
  <c r="A71" i="1"/>
  <c r="A72" i="1" l="1"/>
  <c r="B71" i="1"/>
  <c r="B72" i="1" l="1"/>
  <c r="A73" i="1"/>
  <c r="B73" i="1" l="1"/>
  <c r="A74" i="1"/>
  <c r="A75" i="1" l="1"/>
  <c r="B74" i="1"/>
  <c r="B75" i="1" l="1"/>
  <c r="A76" i="1"/>
  <c r="B76" i="1" l="1"/>
  <c r="A77" i="1"/>
  <c r="A78" i="1" l="1"/>
  <c r="B77" i="1"/>
  <c r="B78" i="1" l="1"/>
  <c r="A79" i="1"/>
  <c r="B79" i="1" l="1"/>
  <c r="A80" i="1"/>
  <c r="B80" i="1" l="1"/>
  <c r="A81" i="1"/>
  <c r="A82" i="1" l="1"/>
  <c r="B82" i="1" s="1"/>
  <c r="B81" i="1"/>
</calcChain>
</file>

<file path=xl/sharedStrings.xml><?xml version="1.0" encoding="utf-8"?>
<sst xmlns="http://schemas.openxmlformats.org/spreadsheetml/2006/main" count="17" uniqueCount="11">
  <si>
    <t>X</t>
  </si>
  <si>
    <t>f(X)</t>
  </si>
  <si>
    <t>Mean=</t>
  </si>
  <si>
    <t>Std Dev=</t>
  </si>
  <si>
    <t>P( X &gt;=</t>
  </si>
  <si>
    <t>)=</t>
  </si>
  <si>
    <t>P(X&lt;=100) =</t>
  </si>
  <si>
    <t>P(X&lt;=200)=</t>
  </si>
  <si>
    <t>P(X&gt;=225)=</t>
  </si>
  <si>
    <t>P(X&gt;=110)=</t>
  </si>
  <si>
    <t>P(100&lt;=X&lt;=250)=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</si>
</sst>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sz val="16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sz val="14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9">
    <xf numFmtId="0" fontId="0" fillId="0" borderId="0" xfId="0"/>
    <xf numFmtId="0" fontId="2" fillId="0" borderId="0" xfId="0" applyFont="1" applyAlignment="1">
      <alignment horizontal="right"/>
    </xf>
    <xf numFmtId="0" fontId="2" fillId="0" borderId="0" xfId="0" applyFont="1" applyAlignment="1">
      <alignment horizontal="left"/>
    </xf>
    <xf numFmtId="0" fontId="1" fillId="2" borderId="0" xfId="0" applyFont="1" applyFill="1"/>
    <xf numFmtId="0" fontId="1" fillId="2" borderId="0" xfId="0" applyFont="1" applyFill="1" applyAlignment="1">
      <alignment horizontal="left"/>
    </xf>
    <xf numFmtId="0" fontId="1" fillId="2" borderId="0" xfId="0" applyFont="1" applyFill="1" applyAlignment="1">
      <alignment horizontal="right"/>
    </xf>
    <xf numFmtId="0" fontId="0" fillId="2" borderId="0" xfId="0" applyFill="1"/>
    <xf numFmtId="0" fontId="1" fillId="0" borderId="0" xfId="0" applyFont="1" applyAlignment="1">
      <alignment horizontal="center"/>
    </xf>
    <xf numFmtId="0" fontId="3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>
        <c:manualLayout>
          <c:layoutTarget val="inner"/>
          <c:xMode val="edge"/>
          <c:yMode val="edge"/>
          <c:x val="7.4558719807601176E-2"/>
          <c:y val="1.6432118457936663E-2"/>
          <c:w val="0.75268044619422592"/>
          <c:h val="0.79822506561679785"/>
        </c:manualLayout>
      </c:layout>
      <c:scatterChart>
        <c:scatterStyle val="smoothMarker"/>
        <c:varyColors val="0"/>
        <c:ser>
          <c:idx val="0"/>
          <c:order val="0"/>
          <c:tx>
            <c:strRef>
              <c:f>Normal!$B$1</c:f>
              <c:strCache>
                <c:ptCount val="1"/>
                <c:pt idx="0">
                  <c:v>f(X)</c:v>
                </c:pt>
              </c:strCache>
            </c:strRef>
          </c:tx>
          <c:marker>
            <c:symbol val="none"/>
          </c:marker>
          <c:xVal>
            <c:numRef>
              <c:f>Normal!$A$2:$A$82</c:f>
              <c:numCache>
                <c:formatCode>General</c:formatCode>
                <c:ptCount val="81"/>
                <c:pt idx="0">
                  <c:v>-50</c:v>
                </c:pt>
                <c:pt idx="1">
                  <c:v>-45</c:v>
                </c:pt>
                <c:pt idx="2">
                  <c:v>-40</c:v>
                </c:pt>
                <c:pt idx="3">
                  <c:v>-35</c:v>
                </c:pt>
                <c:pt idx="4">
                  <c:v>-30</c:v>
                </c:pt>
                <c:pt idx="5">
                  <c:v>-25</c:v>
                </c:pt>
                <c:pt idx="6">
                  <c:v>-20</c:v>
                </c:pt>
                <c:pt idx="7">
                  <c:v>-15</c:v>
                </c:pt>
                <c:pt idx="8">
                  <c:v>-10</c:v>
                </c:pt>
                <c:pt idx="9">
                  <c:v>-5</c:v>
                </c:pt>
                <c:pt idx="10">
                  <c:v>0</c:v>
                </c:pt>
                <c:pt idx="11">
                  <c:v>5</c:v>
                </c:pt>
                <c:pt idx="12">
                  <c:v>10</c:v>
                </c:pt>
                <c:pt idx="13">
                  <c:v>15</c:v>
                </c:pt>
                <c:pt idx="14">
                  <c:v>20</c:v>
                </c:pt>
                <c:pt idx="15">
                  <c:v>25</c:v>
                </c:pt>
                <c:pt idx="16">
                  <c:v>30</c:v>
                </c:pt>
                <c:pt idx="17">
                  <c:v>35</c:v>
                </c:pt>
                <c:pt idx="18">
                  <c:v>40</c:v>
                </c:pt>
                <c:pt idx="19">
                  <c:v>45</c:v>
                </c:pt>
                <c:pt idx="20">
                  <c:v>50</c:v>
                </c:pt>
                <c:pt idx="21">
                  <c:v>55</c:v>
                </c:pt>
                <c:pt idx="22">
                  <c:v>60</c:v>
                </c:pt>
                <c:pt idx="23">
                  <c:v>65</c:v>
                </c:pt>
                <c:pt idx="24">
                  <c:v>70</c:v>
                </c:pt>
                <c:pt idx="25">
                  <c:v>75</c:v>
                </c:pt>
                <c:pt idx="26">
                  <c:v>80</c:v>
                </c:pt>
                <c:pt idx="27">
                  <c:v>85</c:v>
                </c:pt>
                <c:pt idx="28">
                  <c:v>90</c:v>
                </c:pt>
                <c:pt idx="29">
                  <c:v>95</c:v>
                </c:pt>
                <c:pt idx="30">
                  <c:v>100</c:v>
                </c:pt>
                <c:pt idx="31">
                  <c:v>105</c:v>
                </c:pt>
                <c:pt idx="32">
                  <c:v>110</c:v>
                </c:pt>
                <c:pt idx="33">
                  <c:v>115</c:v>
                </c:pt>
                <c:pt idx="34">
                  <c:v>120</c:v>
                </c:pt>
                <c:pt idx="35">
                  <c:v>125</c:v>
                </c:pt>
                <c:pt idx="36">
                  <c:v>130</c:v>
                </c:pt>
                <c:pt idx="37">
                  <c:v>135</c:v>
                </c:pt>
                <c:pt idx="38">
                  <c:v>140</c:v>
                </c:pt>
                <c:pt idx="39">
                  <c:v>145</c:v>
                </c:pt>
                <c:pt idx="40">
                  <c:v>150</c:v>
                </c:pt>
                <c:pt idx="41">
                  <c:v>155</c:v>
                </c:pt>
                <c:pt idx="42">
                  <c:v>160</c:v>
                </c:pt>
                <c:pt idx="43">
                  <c:v>165</c:v>
                </c:pt>
                <c:pt idx="44">
                  <c:v>170</c:v>
                </c:pt>
                <c:pt idx="45">
                  <c:v>175</c:v>
                </c:pt>
                <c:pt idx="46">
                  <c:v>180</c:v>
                </c:pt>
                <c:pt idx="47">
                  <c:v>185</c:v>
                </c:pt>
                <c:pt idx="48">
                  <c:v>190</c:v>
                </c:pt>
                <c:pt idx="49">
                  <c:v>195</c:v>
                </c:pt>
                <c:pt idx="50">
                  <c:v>200</c:v>
                </c:pt>
                <c:pt idx="51">
                  <c:v>205</c:v>
                </c:pt>
                <c:pt idx="52">
                  <c:v>210</c:v>
                </c:pt>
                <c:pt idx="53">
                  <c:v>215</c:v>
                </c:pt>
                <c:pt idx="54">
                  <c:v>220</c:v>
                </c:pt>
                <c:pt idx="55">
                  <c:v>225</c:v>
                </c:pt>
                <c:pt idx="56">
                  <c:v>230</c:v>
                </c:pt>
                <c:pt idx="57">
                  <c:v>235</c:v>
                </c:pt>
                <c:pt idx="58">
                  <c:v>240</c:v>
                </c:pt>
                <c:pt idx="59">
                  <c:v>245</c:v>
                </c:pt>
                <c:pt idx="60">
                  <c:v>250</c:v>
                </c:pt>
                <c:pt idx="61">
                  <c:v>255</c:v>
                </c:pt>
                <c:pt idx="62">
                  <c:v>260</c:v>
                </c:pt>
                <c:pt idx="63">
                  <c:v>265</c:v>
                </c:pt>
                <c:pt idx="64">
                  <c:v>270</c:v>
                </c:pt>
                <c:pt idx="65">
                  <c:v>275</c:v>
                </c:pt>
                <c:pt idx="66">
                  <c:v>280</c:v>
                </c:pt>
                <c:pt idx="67">
                  <c:v>285</c:v>
                </c:pt>
                <c:pt idx="68">
                  <c:v>290</c:v>
                </c:pt>
                <c:pt idx="69">
                  <c:v>295</c:v>
                </c:pt>
                <c:pt idx="70">
                  <c:v>300</c:v>
                </c:pt>
                <c:pt idx="71">
                  <c:v>305</c:v>
                </c:pt>
                <c:pt idx="72">
                  <c:v>310</c:v>
                </c:pt>
                <c:pt idx="73">
                  <c:v>315</c:v>
                </c:pt>
                <c:pt idx="74">
                  <c:v>320</c:v>
                </c:pt>
                <c:pt idx="75">
                  <c:v>325</c:v>
                </c:pt>
                <c:pt idx="76">
                  <c:v>330</c:v>
                </c:pt>
                <c:pt idx="77">
                  <c:v>335</c:v>
                </c:pt>
                <c:pt idx="78">
                  <c:v>340</c:v>
                </c:pt>
                <c:pt idx="79">
                  <c:v>345</c:v>
                </c:pt>
                <c:pt idx="80">
                  <c:v>350</c:v>
                </c:pt>
              </c:numCache>
            </c:numRef>
          </c:xVal>
          <c:yVal>
            <c:numRef>
              <c:f>Normal!$B$2:$B$82</c:f>
              <c:numCache>
                <c:formatCode>General</c:formatCode>
                <c:ptCount val="81"/>
                <c:pt idx="0">
                  <c:v>2.6766045152977074E-6</c:v>
                </c:pt>
                <c:pt idx="1">
                  <c:v>3.9731094278554539E-6</c:v>
                </c:pt>
                <c:pt idx="2">
                  <c:v>5.8389385158292056E-6</c:v>
                </c:pt>
                <c:pt idx="3">
                  <c:v>8.4956054110150288E-6</c:v>
                </c:pt>
                <c:pt idx="4">
                  <c:v>1.2238038602275439E-5</c:v>
                </c:pt>
                <c:pt idx="5">
                  <c:v>1.7453653900915203E-5</c:v>
                </c:pt>
                <c:pt idx="6">
                  <c:v>2.4644383369460397E-5</c:v>
                </c:pt>
                <c:pt idx="7">
                  <c:v>3.4451378781073624E-5</c:v>
                </c:pt>
                <c:pt idx="8">
                  <c:v>4.7681764029296806E-5</c:v>
                </c:pt>
                <c:pt idx="9">
                  <c:v>6.5336381123998368E-5</c:v>
                </c:pt>
                <c:pt idx="10">
                  <c:v>8.8636968238760147E-5</c:v>
                </c:pt>
                <c:pt idx="11">
                  <c:v>1.1905064839551708E-4</c:v>
                </c:pt>
                <c:pt idx="12">
                  <c:v>1.5830903165959937E-4</c:v>
                </c:pt>
                <c:pt idx="13">
                  <c:v>2.0841869628845185E-4</c:v>
                </c:pt>
                <c:pt idx="14">
                  <c:v>2.7165938467371226E-4</c:v>
                </c:pt>
                <c:pt idx="15">
                  <c:v>3.5056600987137083E-4</c:v>
                </c:pt>
                <c:pt idx="16">
                  <c:v>4.4789060589685796E-4</c:v>
                </c:pt>
                <c:pt idx="17">
                  <c:v>5.6654075483202374E-4</c:v>
                </c:pt>
                <c:pt idx="18">
                  <c:v>7.0949185692462851E-4</c:v>
                </c:pt>
                <c:pt idx="19">
                  <c:v>8.7967191960854388E-4</c:v>
                </c:pt>
                <c:pt idx="20">
                  <c:v>1.0798193302637611E-3</c:v>
                </c:pt>
                <c:pt idx="21">
                  <c:v>1.312316295493532E-3</c:v>
                </c:pt>
                <c:pt idx="22">
                  <c:v>1.5790031660178829E-3</c:v>
                </c:pt>
                <c:pt idx="23">
                  <c:v>1.8809815475377388E-3</c:v>
                </c:pt>
                <c:pt idx="24">
                  <c:v>2.218416693589111E-3</c:v>
                </c:pt>
                <c:pt idx="25">
                  <c:v>2.5903519133178348E-3</c:v>
                </c:pt>
                <c:pt idx="26">
                  <c:v>2.9945493127148974E-3</c:v>
                </c:pt>
                <c:pt idx="27">
                  <c:v>3.4273718409561465E-3</c:v>
                </c:pt>
                <c:pt idx="28">
                  <c:v>3.8837210996642588E-3</c:v>
                </c:pt>
                <c:pt idx="29">
                  <c:v>4.3570435406510106E-3</c:v>
                </c:pt>
                <c:pt idx="30">
                  <c:v>4.8394144903828673E-3</c:v>
                </c:pt>
                <c:pt idx="31">
                  <c:v>5.3217049979750967E-3</c:v>
                </c:pt>
                <c:pt idx="32">
                  <c:v>5.7938310552296543E-3</c:v>
                </c:pt>
                <c:pt idx="33">
                  <c:v>6.2450786673352255E-3</c:v>
                </c:pt>
                <c:pt idx="34">
                  <c:v>6.6644920578359922E-3</c:v>
                </c:pt>
                <c:pt idx="35">
                  <c:v>7.0413065352859898E-3</c:v>
                </c:pt>
                <c:pt idx="36">
                  <c:v>7.3654028060664662E-3</c:v>
                </c:pt>
                <c:pt idx="37">
                  <c:v>7.6277563092104822E-3</c:v>
                </c:pt>
                <c:pt idx="38">
                  <c:v>7.8208538795091175E-3</c:v>
                </c:pt>
                <c:pt idx="39">
                  <c:v>7.9390509495402359E-3</c:v>
                </c:pt>
                <c:pt idx="40">
                  <c:v>7.9788456080286535E-3</c:v>
                </c:pt>
                <c:pt idx="41">
                  <c:v>7.9390509495402359E-3</c:v>
                </c:pt>
                <c:pt idx="42">
                  <c:v>7.8208538795091175E-3</c:v>
                </c:pt>
                <c:pt idx="43">
                  <c:v>7.6277563092104822E-3</c:v>
                </c:pt>
                <c:pt idx="44">
                  <c:v>7.3654028060664662E-3</c:v>
                </c:pt>
                <c:pt idx="45">
                  <c:v>7.0413065352859898E-3</c:v>
                </c:pt>
                <c:pt idx="46">
                  <c:v>6.6644920578359922E-3</c:v>
                </c:pt>
                <c:pt idx="47">
                  <c:v>6.2450786673352255E-3</c:v>
                </c:pt>
                <c:pt idx="48">
                  <c:v>5.7938310552296543E-3</c:v>
                </c:pt>
                <c:pt idx="49">
                  <c:v>5.3217049979750967E-3</c:v>
                </c:pt>
                <c:pt idx="50">
                  <c:v>4.8394144903828673E-3</c:v>
                </c:pt>
                <c:pt idx="51">
                  <c:v>4.3570435406510106E-3</c:v>
                </c:pt>
                <c:pt idx="52">
                  <c:v>3.8837210996642588E-3</c:v>
                </c:pt>
                <c:pt idx="53">
                  <c:v>3.4273718409561465E-3</c:v>
                </c:pt>
                <c:pt idx="54">
                  <c:v>2.9945493127148974E-3</c:v>
                </c:pt>
                <c:pt idx="55">
                  <c:v>2.5903519133178348E-3</c:v>
                </c:pt>
                <c:pt idx="56">
                  <c:v>2.218416693589111E-3</c:v>
                </c:pt>
                <c:pt idx="57">
                  <c:v>1.8809815475377388E-3</c:v>
                </c:pt>
                <c:pt idx="58">
                  <c:v>1.5790031660178829E-3</c:v>
                </c:pt>
                <c:pt idx="59">
                  <c:v>1.312316295493532E-3</c:v>
                </c:pt>
                <c:pt idx="60">
                  <c:v>1.0798193302637611E-3</c:v>
                </c:pt>
                <c:pt idx="61">
                  <c:v>8.7967191960854388E-4</c:v>
                </c:pt>
                <c:pt idx="62">
                  <c:v>7.0949185692462851E-4</c:v>
                </c:pt>
                <c:pt idx="63">
                  <c:v>5.6654075483202374E-4</c:v>
                </c:pt>
                <c:pt idx="64">
                  <c:v>4.4789060589685796E-4</c:v>
                </c:pt>
                <c:pt idx="65">
                  <c:v>3.5056600987137083E-4</c:v>
                </c:pt>
                <c:pt idx="66">
                  <c:v>2.7165938467371226E-4</c:v>
                </c:pt>
                <c:pt idx="67">
                  <c:v>2.0841869628845185E-4</c:v>
                </c:pt>
                <c:pt idx="68">
                  <c:v>1.5830903165959937E-4</c:v>
                </c:pt>
                <c:pt idx="69">
                  <c:v>1.1905064839551708E-4</c:v>
                </c:pt>
                <c:pt idx="70">
                  <c:v>8.8636968238760147E-5</c:v>
                </c:pt>
                <c:pt idx="71">
                  <c:v>6.5336381123998368E-5</c:v>
                </c:pt>
                <c:pt idx="72">
                  <c:v>4.7681764029296806E-5</c:v>
                </c:pt>
                <c:pt idx="73">
                  <c:v>3.4451378781073624E-5</c:v>
                </c:pt>
                <c:pt idx="74">
                  <c:v>2.4644383369460397E-5</c:v>
                </c:pt>
                <c:pt idx="75">
                  <c:v>1.7453653900915203E-5</c:v>
                </c:pt>
                <c:pt idx="76">
                  <c:v>1.2238038602275439E-5</c:v>
                </c:pt>
                <c:pt idx="77">
                  <c:v>8.4956054110150288E-6</c:v>
                </c:pt>
                <c:pt idx="78">
                  <c:v>5.8389385158292056E-6</c:v>
                </c:pt>
                <c:pt idx="79">
                  <c:v>3.9731094278554539E-6</c:v>
                </c:pt>
                <c:pt idx="80">
                  <c:v>2.6766045152977074E-6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F8FF-4D86-816B-2F23C786EA51}"/>
            </c:ext>
          </c:extLst>
        </c:ser>
        <c:ser>
          <c:idx val="1"/>
          <c:order val="1"/>
          <c:tx>
            <c:v>2</c:v>
          </c:tx>
          <c:marker>
            <c:symbol val="none"/>
          </c:marker>
          <c:xVal>
            <c:numRef>
              <c:f>Normal!$W$4:$W$5</c:f>
              <c:numCache>
                <c:formatCode>General</c:formatCode>
                <c:ptCount val="2"/>
                <c:pt idx="0">
                  <c:v>150</c:v>
                </c:pt>
                <c:pt idx="1">
                  <c:v>150</c:v>
                </c:pt>
              </c:numCache>
            </c:numRef>
          </c:xVal>
          <c:yVal>
            <c:numRef>
              <c:f>Normal!$X$4:$X$5</c:f>
              <c:numCache>
                <c:formatCode>General</c:formatCode>
                <c:ptCount val="2"/>
                <c:pt idx="0">
                  <c:v>0</c:v>
                </c:pt>
                <c:pt idx="1">
                  <c:v>7.9788456080286535E-3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1-F8FF-4D86-816B-2F23C786EA5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02520704"/>
        <c:axId val="102522240"/>
      </c:scatterChart>
      <c:valAx>
        <c:axId val="102520704"/>
        <c:scaling>
          <c:orientation val="minMax"/>
          <c:max val="500"/>
          <c:min val="-200"/>
        </c:scaling>
        <c:delete val="0"/>
        <c:axPos val="b"/>
        <c:numFmt formatCode="General" sourceLinked="1"/>
        <c:majorTickMark val="out"/>
        <c:minorTickMark val="none"/>
        <c:tickLblPos val="nextTo"/>
        <c:crossAx val="102522240"/>
        <c:crossesAt val="-200"/>
        <c:crossBetween val="midCat"/>
        <c:majorUnit val="50"/>
      </c:valAx>
      <c:valAx>
        <c:axId val="102522240"/>
        <c:scaling>
          <c:orientation val="minMax"/>
          <c:max val="1.5000000000000006E-2"/>
          <c:min val="0"/>
        </c:scaling>
        <c:delete val="0"/>
        <c:axPos val="l"/>
        <c:majorGridlines/>
        <c:numFmt formatCode="General" sourceLinked="1"/>
        <c:majorTickMark val="out"/>
        <c:minorTickMark val="none"/>
        <c:tickLblPos val="nextTo"/>
        <c:crossAx val="102520704"/>
        <c:crossesAt val="-200"/>
        <c:crossBetween val="midCat"/>
      </c:valAx>
    </c:plotArea>
    <c:plotVisOnly val="1"/>
    <c:dispBlanksAs val="gap"/>
    <c:showDLblsOverMax val="0"/>
  </c:chart>
  <c:printSettings>
    <c:headerFooter/>
    <c:pageMargins b="0.75000000000000022" l="0.70000000000000018" r="0.70000000000000018" t="0.75000000000000022" header="0.3000000000000001" footer="0.3000000000000001"/>
    <c:pageSetup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495300</xdr:colOff>
      <xdr:row>0</xdr:row>
      <xdr:rowOff>133350</xdr:rowOff>
    </xdr:from>
    <xdr:to>
      <xdr:col>13</xdr:col>
      <xdr:colOff>66676</xdr:colOff>
      <xdr:row>20</xdr:row>
      <xdr:rowOff>66675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00000000-0008-0000-0000-000004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8</xdr:col>
      <xdr:colOff>614516</xdr:colOff>
      <xdr:row>3</xdr:row>
      <xdr:rowOff>143387</xdr:rowOff>
    </xdr:from>
    <xdr:to>
      <xdr:col>8</xdr:col>
      <xdr:colOff>641623</xdr:colOff>
      <xdr:row>16</xdr:row>
      <xdr:rowOff>216586</xdr:rowOff>
    </xdr:to>
    <xdr:cxnSp macro="">
      <xdr:nvCxnSpPr>
        <xdr:cNvPr id="6" name="Straight Connector 5">
          <a:extLst>
            <a:ext uri="{FF2B5EF4-FFF2-40B4-BE49-F238E27FC236}">
              <a16:creationId xmlns:a16="http://schemas.microsoft.com/office/drawing/2014/main" id="{0322C5CC-B4F3-49C9-8CAC-180CDB3FB603}"/>
            </a:ext>
          </a:extLst>
        </xdr:cNvPr>
        <xdr:cNvCxnSpPr/>
      </xdr:nvCxnSpPr>
      <xdr:spPr>
        <a:xfrm flipH="1" flipV="1">
          <a:off x="5441882" y="792043"/>
          <a:ext cx="27107" cy="2599543"/>
        </a:xfrm>
        <a:prstGeom prst="lin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X82"/>
  <sheetViews>
    <sheetView tabSelected="1" topLeftCell="F1" zoomScale="93" zoomScaleNormal="93" workbookViewId="0">
      <selection activeCell="X4" sqref="X4"/>
    </sheetView>
  </sheetViews>
  <sheetFormatPr defaultRowHeight="14.5" x14ac:dyDescent="0.35"/>
  <cols>
    <col min="1" max="1" width="5" customWidth="1"/>
    <col min="2" max="2" width="9.453125" customWidth="1"/>
    <col min="5" max="5" width="11.1796875" customWidth="1"/>
    <col min="9" max="9" width="20.54296875" customWidth="1"/>
    <col min="12" max="12" width="12.54296875" bestFit="1" customWidth="1"/>
    <col min="15" max="15" width="12" customWidth="1"/>
    <col min="16" max="16" width="9.54296875" customWidth="1"/>
    <col min="17" max="17" width="6.1796875" customWidth="1"/>
    <col min="18" max="18" width="3.26953125" customWidth="1"/>
    <col min="19" max="19" width="11.54296875" customWidth="1"/>
  </cols>
  <sheetData>
    <row r="1" spans="1:24" x14ac:dyDescent="0.35">
      <c r="A1" t="s">
        <v>0</v>
      </c>
      <c r="B1" t="s">
        <v>1</v>
      </c>
    </row>
    <row r="2" spans="1:24" ht="18.5" x14ac:dyDescent="0.45">
      <c r="A2">
        <f>$F$24-4*$F$25</f>
        <v>-50</v>
      </c>
      <c r="B2">
        <f t="shared" ref="B2:B33" si="0">NORMDIST(A2,$F$24,$F$25,0)</f>
        <v>2.6766045152977074E-6</v>
      </c>
      <c r="O2" s="1" t="s">
        <v>2</v>
      </c>
      <c r="P2" s="2">
        <v>200</v>
      </c>
    </row>
    <row r="3" spans="1:24" ht="18.5" x14ac:dyDescent="0.45">
      <c r="A3">
        <f t="shared" ref="A3:A34" si="1">A2+$W$3*$F$25</f>
        <v>-45</v>
      </c>
      <c r="B3">
        <f t="shared" si="0"/>
        <v>3.9731094278554539E-6</v>
      </c>
      <c r="O3" s="1" t="s">
        <v>3</v>
      </c>
      <c r="P3" s="2">
        <v>20</v>
      </c>
      <c r="W3">
        <v>0.1</v>
      </c>
    </row>
    <row r="4" spans="1:24" x14ac:dyDescent="0.35">
      <c r="A4">
        <f t="shared" si="1"/>
        <v>-40</v>
      </c>
      <c r="B4">
        <f t="shared" si="0"/>
        <v>5.8389385158292056E-6</v>
      </c>
      <c r="W4">
        <f>F24</f>
        <v>150</v>
      </c>
      <c r="X4">
        <v>0</v>
      </c>
    </row>
    <row r="5" spans="1:24" x14ac:dyDescent="0.35">
      <c r="A5">
        <f t="shared" si="1"/>
        <v>-35</v>
      </c>
      <c r="B5">
        <f t="shared" si="0"/>
        <v>8.4956054110150288E-6</v>
      </c>
      <c r="P5" s="6"/>
      <c r="Q5" s="6"/>
      <c r="R5" s="6"/>
      <c r="W5">
        <f>W4</f>
        <v>150</v>
      </c>
      <c r="X5">
        <f>NORMDIST(W5,W5,F25,0)</f>
        <v>7.9788456080286535E-3</v>
      </c>
    </row>
    <row r="6" spans="1:24" ht="21" x14ac:dyDescent="0.5">
      <c r="A6">
        <f t="shared" si="1"/>
        <v>-30</v>
      </c>
      <c r="B6">
        <f t="shared" si="0"/>
        <v>1.2238038602275439E-5</v>
      </c>
      <c r="P6" s="3" t="s">
        <v>4</v>
      </c>
      <c r="Q6" s="5">
        <v>260</v>
      </c>
      <c r="R6" s="4" t="s">
        <v>5</v>
      </c>
      <c r="S6" s="7">
        <f>1-_xlfn.NORM.DIST(Q6,P2,P3,1)</f>
        <v>1.3498980316301035E-3</v>
      </c>
    </row>
    <row r="7" spans="1:24" x14ac:dyDescent="0.35">
      <c r="A7">
        <f t="shared" si="1"/>
        <v>-25</v>
      </c>
      <c r="B7">
        <f t="shared" si="0"/>
        <v>1.7453653900915203E-5</v>
      </c>
      <c r="P7" s="6"/>
      <c r="Q7" s="6"/>
      <c r="R7" s="6"/>
    </row>
    <row r="8" spans="1:24" x14ac:dyDescent="0.35">
      <c r="A8">
        <f t="shared" si="1"/>
        <v>-20</v>
      </c>
      <c r="B8">
        <f t="shared" si="0"/>
        <v>2.4644383369460397E-5</v>
      </c>
      <c r="P8" s="6"/>
      <c r="Q8" s="6"/>
      <c r="R8" s="6"/>
    </row>
    <row r="9" spans="1:24" x14ac:dyDescent="0.35">
      <c r="A9">
        <f t="shared" si="1"/>
        <v>-15</v>
      </c>
      <c r="B9">
        <f t="shared" si="0"/>
        <v>3.4451378781073624E-5</v>
      </c>
    </row>
    <row r="10" spans="1:24" x14ac:dyDescent="0.35">
      <c r="A10">
        <f t="shared" si="1"/>
        <v>-10</v>
      </c>
      <c r="B10">
        <f t="shared" si="0"/>
        <v>4.7681764029296806E-5</v>
      </c>
    </row>
    <row r="11" spans="1:24" x14ac:dyDescent="0.35">
      <c r="A11">
        <f t="shared" si="1"/>
        <v>-5</v>
      </c>
      <c r="B11">
        <f t="shared" si="0"/>
        <v>6.5336381123998368E-5</v>
      </c>
    </row>
    <row r="12" spans="1:24" x14ac:dyDescent="0.35">
      <c r="A12">
        <f t="shared" si="1"/>
        <v>0</v>
      </c>
      <c r="B12">
        <f t="shared" si="0"/>
        <v>8.8636968238760147E-5</v>
      </c>
    </row>
    <row r="13" spans="1:24" x14ac:dyDescent="0.35">
      <c r="A13">
        <f t="shared" si="1"/>
        <v>5</v>
      </c>
      <c r="B13">
        <f t="shared" si="0"/>
        <v>1.1905064839551708E-4</v>
      </c>
    </row>
    <row r="14" spans="1:24" x14ac:dyDescent="0.35">
      <c r="A14">
        <f t="shared" si="1"/>
        <v>10</v>
      </c>
      <c r="B14">
        <f t="shared" si="0"/>
        <v>1.5830903165959937E-4</v>
      </c>
    </row>
    <row r="15" spans="1:24" x14ac:dyDescent="0.35">
      <c r="A15">
        <f t="shared" si="1"/>
        <v>15</v>
      </c>
      <c r="B15">
        <f t="shared" si="0"/>
        <v>2.0841869628845185E-4</v>
      </c>
    </row>
    <row r="16" spans="1:24" ht="18.5" x14ac:dyDescent="0.45">
      <c r="A16">
        <f t="shared" si="1"/>
        <v>20</v>
      </c>
      <c r="B16">
        <f t="shared" si="0"/>
        <v>2.7165938467371226E-4</v>
      </c>
      <c r="O16" s="1" t="s">
        <v>2</v>
      </c>
      <c r="P16" s="2">
        <v>100</v>
      </c>
    </row>
    <row r="17" spans="1:19" ht="18.5" x14ac:dyDescent="0.45">
      <c r="A17">
        <f t="shared" si="1"/>
        <v>25</v>
      </c>
      <c r="B17">
        <f t="shared" si="0"/>
        <v>3.5056600987137083E-4</v>
      </c>
      <c r="O17" s="1" t="s">
        <v>3</v>
      </c>
      <c r="P17" s="2">
        <v>50</v>
      </c>
    </row>
    <row r="18" spans="1:19" x14ac:dyDescent="0.35">
      <c r="A18">
        <f t="shared" si="1"/>
        <v>30</v>
      </c>
      <c r="B18">
        <f t="shared" si="0"/>
        <v>4.4789060589685796E-4</v>
      </c>
    </row>
    <row r="19" spans="1:19" x14ac:dyDescent="0.35">
      <c r="A19">
        <f t="shared" si="1"/>
        <v>35</v>
      </c>
      <c r="B19">
        <f t="shared" si="0"/>
        <v>5.6654075483202374E-4</v>
      </c>
      <c r="P19" s="6"/>
      <c r="Q19" s="6"/>
      <c r="R19" s="6"/>
    </row>
    <row r="20" spans="1:19" ht="21" x14ac:dyDescent="0.5">
      <c r="A20">
        <f t="shared" si="1"/>
        <v>40</v>
      </c>
      <c r="B20">
        <f t="shared" si="0"/>
        <v>7.0949185692462851E-4</v>
      </c>
      <c r="P20" s="3" t="s">
        <v>4</v>
      </c>
      <c r="Q20" s="5">
        <v>250</v>
      </c>
      <c r="R20" s="4" t="s">
        <v>5</v>
      </c>
      <c r="S20" s="7">
        <f>1-_xlfn.NORM.DIST(Q20,P16,P17,1)</f>
        <v>1.3498980316301035E-3</v>
      </c>
    </row>
    <row r="21" spans="1:19" x14ac:dyDescent="0.35">
      <c r="A21">
        <f t="shared" si="1"/>
        <v>45</v>
      </c>
      <c r="B21">
        <f t="shared" si="0"/>
        <v>8.7967191960854388E-4</v>
      </c>
      <c r="P21" s="6"/>
      <c r="Q21" s="6"/>
      <c r="R21" s="6"/>
    </row>
    <row r="22" spans="1:19" x14ac:dyDescent="0.35">
      <c r="A22">
        <f t="shared" si="1"/>
        <v>50</v>
      </c>
      <c r="B22">
        <f t="shared" si="0"/>
        <v>1.0798193302637611E-3</v>
      </c>
      <c r="P22" s="6"/>
      <c r="Q22" s="6"/>
      <c r="R22" s="6"/>
    </row>
    <row r="23" spans="1:19" ht="18.5" x14ac:dyDescent="0.45">
      <c r="A23">
        <f t="shared" si="1"/>
        <v>55</v>
      </c>
      <c r="B23">
        <f t="shared" si="0"/>
        <v>1.312316295493532E-3</v>
      </c>
      <c r="I23" s="1" t="s">
        <v>6</v>
      </c>
      <c r="J23" s="8">
        <f>_xlfn.NORM.DIST(100,150,50,1)</f>
        <v>0.15865525393145699</v>
      </c>
    </row>
    <row r="24" spans="1:19" ht="18.5" x14ac:dyDescent="0.45">
      <c r="A24">
        <f t="shared" si="1"/>
        <v>60</v>
      </c>
      <c r="B24">
        <f t="shared" si="0"/>
        <v>1.5790031660178829E-3</v>
      </c>
      <c r="E24" s="1" t="s">
        <v>2</v>
      </c>
      <c r="F24" s="2">
        <v>150</v>
      </c>
      <c r="I24" s="1" t="s">
        <v>7</v>
      </c>
      <c r="J24" s="8">
        <f>_xlfn.NORM.DIST(200,150,50,1)</f>
        <v>0.84134474606854304</v>
      </c>
    </row>
    <row r="25" spans="1:19" ht="18.5" x14ac:dyDescent="0.45">
      <c r="A25">
        <f t="shared" si="1"/>
        <v>65</v>
      </c>
      <c r="B25">
        <f t="shared" si="0"/>
        <v>1.8809815475377388E-3</v>
      </c>
      <c r="E25" s="1" t="s">
        <v>3</v>
      </c>
      <c r="F25" s="2">
        <v>50</v>
      </c>
      <c r="I25" s="1" t="s">
        <v>8</v>
      </c>
      <c r="J25" s="8">
        <f>1-_xlfn.NORM.DIST(225,150,50,1)</f>
        <v>6.6807201268858085E-2</v>
      </c>
    </row>
    <row r="26" spans="1:19" ht="18.5" x14ac:dyDescent="0.45">
      <c r="A26">
        <f t="shared" si="1"/>
        <v>70</v>
      </c>
      <c r="B26">
        <f t="shared" si="0"/>
        <v>2.218416693589111E-3</v>
      </c>
      <c r="I26" s="1" t="s">
        <v>9</v>
      </c>
      <c r="J26" s="8"/>
    </row>
    <row r="27" spans="1:19" ht="18.5" x14ac:dyDescent="0.45">
      <c r="A27">
        <f t="shared" si="1"/>
        <v>75</v>
      </c>
      <c r="B27">
        <f t="shared" si="0"/>
        <v>2.5903519133178348E-3</v>
      </c>
      <c r="I27" s="1" t="s">
        <v>10</v>
      </c>
      <c r="J27" s="1"/>
    </row>
    <row r="28" spans="1:19" ht="18.5" x14ac:dyDescent="0.45">
      <c r="A28">
        <f t="shared" si="1"/>
        <v>80</v>
      </c>
      <c r="B28">
        <f t="shared" si="0"/>
        <v>2.9945493127148974E-3</v>
      </c>
      <c r="J28" s="1"/>
    </row>
    <row r="29" spans="1:19" ht="18.5" x14ac:dyDescent="0.45">
      <c r="A29">
        <f t="shared" si="1"/>
        <v>85</v>
      </c>
      <c r="B29">
        <f t="shared" si="0"/>
        <v>3.4273718409561465E-3</v>
      </c>
      <c r="J29" s="1"/>
    </row>
    <row r="30" spans="1:19" x14ac:dyDescent="0.35">
      <c r="A30">
        <f t="shared" si="1"/>
        <v>90</v>
      </c>
      <c r="B30">
        <f t="shared" si="0"/>
        <v>3.8837210996642588E-3</v>
      </c>
    </row>
    <row r="31" spans="1:19" x14ac:dyDescent="0.35">
      <c r="A31">
        <f t="shared" si="1"/>
        <v>95</v>
      </c>
      <c r="B31">
        <f t="shared" si="0"/>
        <v>4.3570435406510106E-3</v>
      </c>
    </row>
    <row r="32" spans="1:19" x14ac:dyDescent="0.35">
      <c r="A32">
        <f t="shared" si="1"/>
        <v>100</v>
      </c>
      <c r="B32">
        <f t="shared" si="0"/>
        <v>4.8394144903828673E-3</v>
      </c>
    </row>
    <row r="33" spans="1:13" x14ac:dyDescent="0.35">
      <c r="A33">
        <f t="shared" si="1"/>
        <v>105</v>
      </c>
      <c r="B33">
        <f t="shared" si="0"/>
        <v>5.3217049979750967E-3</v>
      </c>
    </row>
    <row r="34" spans="1:13" x14ac:dyDescent="0.35">
      <c r="A34">
        <f t="shared" si="1"/>
        <v>110</v>
      </c>
      <c r="B34">
        <f t="shared" ref="B34:B65" si="2">NORMDIST(A34,$F$24,$F$25,0)</f>
        <v>5.7938310552296543E-3</v>
      </c>
    </row>
    <row r="35" spans="1:13" x14ac:dyDescent="0.35">
      <c r="A35">
        <f t="shared" ref="A35:A66" si="3">A34+$W$3*$F$25</f>
        <v>115</v>
      </c>
      <c r="B35">
        <f t="shared" si="2"/>
        <v>6.2450786673352255E-3</v>
      </c>
      <c r="L35">
        <f>-_xlfn.NORM.S.INV(0.01)</f>
        <v>2.3263478740408408</v>
      </c>
      <c r="M35">
        <f>1000+L35*5/3</f>
        <v>1003.8772464567347</v>
      </c>
    </row>
    <row r="36" spans="1:13" x14ac:dyDescent="0.35">
      <c r="A36">
        <f t="shared" si="3"/>
        <v>120</v>
      </c>
      <c r="B36">
        <f t="shared" si="2"/>
        <v>6.6644920578359922E-3</v>
      </c>
    </row>
    <row r="37" spans="1:13" x14ac:dyDescent="0.35">
      <c r="A37">
        <f t="shared" si="3"/>
        <v>125</v>
      </c>
      <c r="B37">
        <f t="shared" si="2"/>
        <v>7.0413065352859898E-3</v>
      </c>
      <c r="L37">
        <f>_xlfn.NORM.DIST(990,1003.88,5/3,1)</f>
        <v>4.1109757214460022E-17</v>
      </c>
    </row>
    <row r="38" spans="1:13" x14ac:dyDescent="0.35">
      <c r="A38">
        <f t="shared" si="3"/>
        <v>130</v>
      </c>
      <c r="B38">
        <f t="shared" si="2"/>
        <v>7.3654028060664662E-3</v>
      </c>
    </row>
    <row r="39" spans="1:13" x14ac:dyDescent="0.35">
      <c r="A39">
        <f t="shared" si="3"/>
        <v>135</v>
      </c>
      <c r="B39">
        <f t="shared" si="2"/>
        <v>7.6277563092104822E-3</v>
      </c>
    </row>
    <row r="40" spans="1:13" x14ac:dyDescent="0.35">
      <c r="A40">
        <f t="shared" si="3"/>
        <v>140</v>
      </c>
      <c r="B40">
        <f t="shared" si="2"/>
        <v>7.8208538795091175E-3</v>
      </c>
    </row>
    <row r="41" spans="1:13" x14ac:dyDescent="0.35">
      <c r="A41">
        <f t="shared" si="3"/>
        <v>145</v>
      </c>
      <c r="B41">
        <f t="shared" si="2"/>
        <v>7.9390509495402359E-3</v>
      </c>
    </row>
    <row r="42" spans="1:13" x14ac:dyDescent="0.35">
      <c r="A42">
        <f t="shared" si="3"/>
        <v>150</v>
      </c>
      <c r="B42">
        <f t="shared" si="2"/>
        <v>7.9788456080286535E-3</v>
      </c>
    </row>
    <row r="43" spans="1:13" x14ac:dyDescent="0.35">
      <c r="A43">
        <f t="shared" si="3"/>
        <v>155</v>
      </c>
      <c r="B43">
        <f t="shared" si="2"/>
        <v>7.9390509495402359E-3</v>
      </c>
    </row>
    <row r="44" spans="1:13" x14ac:dyDescent="0.35">
      <c r="A44">
        <f t="shared" si="3"/>
        <v>160</v>
      </c>
      <c r="B44">
        <f t="shared" si="2"/>
        <v>7.8208538795091175E-3</v>
      </c>
    </row>
    <row r="45" spans="1:13" x14ac:dyDescent="0.35">
      <c r="A45">
        <f t="shared" si="3"/>
        <v>165</v>
      </c>
      <c r="B45">
        <f t="shared" si="2"/>
        <v>7.6277563092104822E-3</v>
      </c>
    </row>
    <row r="46" spans="1:13" x14ac:dyDescent="0.35">
      <c r="A46">
        <f t="shared" si="3"/>
        <v>170</v>
      </c>
      <c r="B46">
        <f t="shared" si="2"/>
        <v>7.3654028060664662E-3</v>
      </c>
    </row>
    <row r="47" spans="1:13" x14ac:dyDescent="0.35">
      <c r="A47">
        <f t="shared" si="3"/>
        <v>175</v>
      </c>
      <c r="B47">
        <f t="shared" si="2"/>
        <v>7.0413065352859898E-3</v>
      </c>
    </row>
    <row r="48" spans="1:13" x14ac:dyDescent="0.35">
      <c r="A48">
        <f t="shared" si="3"/>
        <v>180</v>
      </c>
      <c r="B48">
        <f t="shared" si="2"/>
        <v>6.6644920578359922E-3</v>
      </c>
    </row>
    <row r="49" spans="1:2" x14ac:dyDescent="0.35">
      <c r="A49">
        <f t="shared" si="3"/>
        <v>185</v>
      </c>
      <c r="B49">
        <f t="shared" si="2"/>
        <v>6.2450786673352255E-3</v>
      </c>
    </row>
    <row r="50" spans="1:2" x14ac:dyDescent="0.35">
      <c r="A50">
        <f t="shared" si="3"/>
        <v>190</v>
      </c>
      <c r="B50">
        <f t="shared" si="2"/>
        <v>5.7938310552296543E-3</v>
      </c>
    </row>
    <row r="51" spans="1:2" x14ac:dyDescent="0.35">
      <c r="A51">
        <f t="shared" si="3"/>
        <v>195</v>
      </c>
      <c r="B51">
        <f t="shared" si="2"/>
        <v>5.3217049979750967E-3</v>
      </c>
    </row>
    <row r="52" spans="1:2" x14ac:dyDescent="0.35">
      <c r="A52">
        <f t="shared" si="3"/>
        <v>200</v>
      </c>
      <c r="B52">
        <f t="shared" si="2"/>
        <v>4.8394144903828673E-3</v>
      </c>
    </row>
    <row r="53" spans="1:2" x14ac:dyDescent="0.35">
      <c r="A53">
        <f t="shared" si="3"/>
        <v>205</v>
      </c>
      <c r="B53">
        <f t="shared" si="2"/>
        <v>4.3570435406510106E-3</v>
      </c>
    </row>
    <row r="54" spans="1:2" x14ac:dyDescent="0.35">
      <c r="A54">
        <f t="shared" si="3"/>
        <v>210</v>
      </c>
      <c r="B54">
        <f t="shared" si="2"/>
        <v>3.8837210996642588E-3</v>
      </c>
    </row>
    <row r="55" spans="1:2" x14ac:dyDescent="0.35">
      <c r="A55">
        <f t="shared" si="3"/>
        <v>215</v>
      </c>
      <c r="B55">
        <f t="shared" si="2"/>
        <v>3.4273718409561465E-3</v>
      </c>
    </row>
    <row r="56" spans="1:2" x14ac:dyDescent="0.35">
      <c r="A56">
        <f t="shared" si="3"/>
        <v>220</v>
      </c>
      <c r="B56">
        <f t="shared" si="2"/>
        <v>2.9945493127148974E-3</v>
      </c>
    </row>
    <row r="57" spans="1:2" x14ac:dyDescent="0.35">
      <c r="A57">
        <f t="shared" si="3"/>
        <v>225</v>
      </c>
      <c r="B57">
        <f t="shared" si="2"/>
        <v>2.5903519133178348E-3</v>
      </c>
    </row>
    <row r="58" spans="1:2" x14ac:dyDescent="0.35">
      <c r="A58">
        <f t="shared" si="3"/>
        <v>230</v>
      </c>
      <c r="B58">
        <f t="shared" si="2"/>
        <v>2.218416693589111E-3</v>
      </c>
    </row>
    <row r="59" spans="1:2" x14ac:dyDescent="0.35">
      <c r="A59">
        <f t="shared" si="3"/>
        <v>235</v>
      </c>
      <c r="B59">
        <f t="shared" si="2"/>
        <v>1.8809815475377388E-3</v>
      </c>
    </row>
    <row r="60" spans="1:2" x14ac:dyDescent="0.35">
      <c r="A60">
        <f t="shared" si="3"/>
        <v>240</v>
      </c>
      <c r="B60">
        <f t="shared" si="2"/>
        <v>1.5790031660178829E-3</v>
      </c>
    </row>
    <row r="61" spans="1:2" x14ac:dyDescent="0.35">
      <c r="A61">
        <f t="shared" si="3"/>
        <v>245</v>
      </c>
      <c r="B61">
        <f t="shared" si="2"/>
        <v>1.312316295493532E-3</v>
      </c>
    </row>
    <row r="62" spans="1:2" x14ac:dyDescent="0.35">
      <c r="A62">
        <f t="shared" si="3"/>
        <v>250</v>
      </c>
      <c r="B62">
        <f t="shared" si="2"/>
        <v>1.0798193302637611E-3</v>
      </c>
    </row>
    <row r="63" spans="1:2" x14ac:dyDescent="0.35">
      <c r="A63">
        <f t="shared" si="3"/>
        <v>255</v>
      </c>
      <c r="B63">
        <f t="shared" si="2"/>
        <v>8.7967191960854388E-4</v>
      </c>
    </row>
    <row r="64" spans="1:2" x14ac:dyDescent="0.35">
      <c r="A64">
        <f t="shared" si="3"/>
        <v>260</v>
      </c>
      <c r="B64">
        <f t="shared" si="2"/>
        <v>7.0949185692462851E-4</v>
      </c>
    </row>
    <row r="65" spans="1:2" x14ac:dyDescent="0.35">
      <c r="A65">
        <f t="shared" si="3"/>
        <v>265</v>
      </c>
      <c r="B65">
        <f t="shared" si="2"/>
        <v>5.6654075483202374E-4</v>
      </c>
    </row>
    <row r="66" spans="1:2" x14ac:dyDescent="0.35">
      <c r="A66">
        <f t="shared" si="3"/>
        <v>270</v>
      </c>
      <c r="B66">
        <f t="shared" ref="B66:B82" si="4">NORMDIST(A66,$F$24,$F$25,0)</f>
        <v>4.4789060589685796E-4</v>
      </c>
    </row>
    <row r="67" spans="1:2" x14ac:dyDescent="0.35">
      <c r="A67">
        <f t="shared" ref="A67:A82" si="5">A66+$W$3*$F$25</f>
        <v>275</v>
      </c>
      <c r="B67">
        <f t="shared" si="4"/>
        <v>3.5056600987137083E-4</v>
      </c>
    </row>
    <row r="68" spans="1:2" x14ac:dyDescent="0.35">
      <c r="A68">
        <f t="shared" si="5"/>
        <v>280</v>
      </c>
      <c r="B68">
        <f t="shared" si="4"/>
        <v>2.7165938467371226E-4</v>
      </c>
    </row>
    <row r="69" spans="1:2" x14ac:dyDescent="0.35">
      <c r="A69">
        <f t="shared" si="5"/>
        <v>285</v>
      </c>
      <c r="B69">
        <f t="shared" si="4"/>
        <v>2.0841869628845185E-4</v>
      </c>
    </row>
    <row r="70" spans="1:2" x14ac:dyDescent="0.35">
      <c r="A70">
        <f t="shared" si="5"/>
        <v>290</v>
      </c>
      <c r="B70">
        <f t="shared" si="4"/>
        <v>1.5830903165959937E-4</v>
      </c>
    </row>
    <row r="71" spans="1:2" x14ac:dyDescent="0.35">
      <c r="A71">
        <f t="shared" si="5"/>
        <v>295</v>
      </c>
      <c r="B71">
        <f t="shared" si="4"/>
        <v>1.1905064839551708E-4</v>
      </c>
    </row>
    <row r="72" spans="1:2" x14ac:dyDescent="0.35">
      <c r="A72">
        <f t="shared" si="5"/>
        <v>300</v>
      </c>
      <c r="B72">
        <f t="shared" si="4"/>
        <v>8.8636968238760147E-5</v>
      </c>
    </row>
    <row r="73" spans="1:2" x14ac:dyDescent="0.35">
      <c r="A73">
        <f t="shared" si="5"/>
        <v>305</v>
      </c>
      <c r="B73">
        <f t="shared" si="4"/>
        <v>6.5336381123998368E-5</v>
      </c>
    </row>
    <row r="74" spans="1:2" x14ac:dyDescent="0.35">
      <c r="A74">
        <f t="shared" si="5"/>
        <v>310</v>
      </c>
      <c r="B74">
        <f t="shared" si="4"/>
        <v>4.7681764029296806E-5</v>
      </c>
    </row>
    <row r="75" spans="1:2" x14ac:dyDescent="0.35">
      <c r="A75">
        <f t="shared" si="5"/>
        <v>315</v>
      </c>
      <c r="B75">
        <f t="shared" si="4"/>
        <v>3.4451378781073624E-5</v>
      </c>
    </row>
    <row r="76" spans="1:2" x14ac:dyDescent="0.35">
      <c r="A76">
        <f t="shared" si="5"/>
        <v>320</v>
      </c>
      <c r="B76">
        <f t="shared" si="4"/>
        <v>2.4644383369460397E-5</v>
      </c>
    </row>
    <row r="77" spans="1:2" x14ac:dyDescent="0.35">
      <c r="A77">
        <f t="shared" si="5"/>
        <v>325</v>
      </c>
      <c r="B77">
        <f t="shared" si="4"/>
        <v>1.7453653900915203E-5</v>
      </c>
    </row>
    <row r="78" spans="1:2" x14ac:dyDescent="0.35">
      <c r="A78">
        <f t="shared" si="5"/>
        <v>330</v>
      </c>
      <c r="B78">
        <f t="shared" si="4"/>
        <v>1.2238038602275439E-5</v>
      </c>
    </row>
    <row r="79" spans="1:2" x14ac:dyDescent="0.35">
      <c r="A79">
        <f t="shared" si="5"/>
        <v>335</v>
      </c>
      <c r="B79">
        <f t="shared" si="4"/>
        <v>8.4956054110150288E-6</v>
      </c>
    </row>
    <row r="80" spans="1:2" x14ac:dyDescent="0.35">
      <c r="A80">
        <f t="shared" si="5"/>
        <v>340</v>
      </c>
      <c r="B80">
        <f t="shared" si="4"/>
        <v>5.8389385158292056E-6</v>
      </c>
    </row>
    <row r="81" spans="1:2" x14ac:dyDescent="0.35">
      <c r="A81">
        <f t="shared" si="5"/>
        <v>345</v>
      </c>
      <c r="B81">
        <f t="shared" si="4"/>
        <v>3.9731094278554539E-6</v>
      </c>
    </row>
    <row r="82" spans="1:2" x14ac:dyDescent="0.35">
      <c r="A82">
        <f t="shared" si="5"/>
        <v>350</v>
      </c>
      <c r="B82">
        <f t="shared" si="4"/>
        <v>2.6766045152977074E-6</v>
      </c>
    </row>
  </sheetData>
  <pageMargins left="0.7" right="0.7" top="0.75" bottom="0.75" header="0.3" footer="0.3"/>
  <pageSetup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Normal</vt:lpstr>
    </vt:vector>
  </TitlesOfParts>
  <Company>I I M Bangalore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nagadevra</dc:creator>
  <cp:lastModifiedBy>Nagadevara V</cp:lastModifiedBy>
  <dcterms:created xsi:type="dcterms:W3CDTF">2008-09-10T10:32:25Z</dcterms:created>
  <dcterms:modified xsi:type="dcterms:W3CDTF">2021-01-21T12:54:50Z</dcterms:modified>
</cp:coreProperties>
</file>