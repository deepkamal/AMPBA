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ISB\Statistical Analysis 1\"/>
    </mc:Choice>
  </mc:AlternateContent>
  <xr:revisionPtr revIDLastSave="0" documentId="13_ncr:1_{0F7D5BFB-D22B-41DA-8745-9181338410E2}" xr6:coauthVersionLast="46" xr6:coauthVersionMax="46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4" i="1"/>
  <c r="H1" i="1"/>
  <c r="D6" i="1" l="1"/>
  <c r="C4" i="1"/>
  <c r="D4" i="1"/>
  <c r="C5" i="1"/>
  <c r="D5" i="1"/>
  <c r="C6" i="1"/>
  <c r="E6" i="1" s="1"/>
  <c r="E4" i="1" l="1"/>
  <c r="E5" i="1"/>
</calcChain>
</file>

<file path=xl/sharedStrings.xml><?xml version="1.0" encoding="utf-8"?>
<sst xmlns="http://schemas.openxmlformats.org/spreadsheetml/2006/main" count="12" uniqueCount="8">
  <si>
    <t>X-Bar=</t>
  </si>
  <si>
    <t>n=</t>
  </si>
  <si>
    <t>Sigma=</t>
  </si>
  <si>
    <t>Sig of X-bar=</t>
  </si>
  <si>
    <t>Z</t>
  </si>
  <si>
    <t>LL</t>
  </si>
  <si>
    <t>UL</t>
  </si>
  <si>
    <t>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</si>
</sst>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zoomScale="150" zoomScaleNormal="150" workbookViewId="0">
      <selection activeCell="H1" sqref="H1"/>
    </sheetView>
  </sheetViews>
  <sheetFormatPr defaultRowHeight="14.5" x14ac:dyDescent="0.35"/>
  <cols>
    <col min="7" max="7" width="12.453125" customWidth="1"/>
  </cols>
  <sheetData>
    <row r="1" spans="1:11" x14ac:dyDescent="0.35">
      <c r="A1" s="2" t="s">
        <v>1</v>
      </c>
      <c r="B1" s="2">
        <v>600</v>
      </c>
      <c r="C1" s="2" t="s">
        <v>0</v>
      </c>
      <c r="D1" s="2">
        <v>6540</v>
      </c>
      <c r="E1" s="2" t="s">
        <v>2</v>
      </c>
      <c r="F1" s="2">
        <v>4608</v>
      </c>
      <c r="G1" s="2" t="s">
        <v>3</v>
      </c>
      <c r="H1" s="2">
        <f>F1/B1^0.5</f>
        <v>188.12081224574808</v>
      </c>
      <c r="I1" s="2"/>
    </row>
    <row r="2" spans="1:11" x14ac:dyDescent="0.35">
      <c r="A2" s="2"/>
      <c r="B2" s="2"/>
      <c r="C2" s="2"/>
      <c r="D2" s="2"/>
      <c r="E2" s="2"/>
      <c r="F2" s="2"/>
      <c r="G2" s="2"/>
      <c r="H2" s="2"/>
      <c r="I2" s="2"/>
    </row>
    <row r="3" spans="1:11" x14ac:dyDescent="0.35">
      <c r="A3" s="2"/>
      <c r="B3" s="2" t="s">
        <v>4</v>
      </c>
      <c r="C3" s="2" t="s">
        <v>5</v>
      </c>
      <c r="D3" s="2" t="s">
        <v>6</v>
      </c>
      <c r="E3" s="2" t="s">
        <v>7</v>
      </c>
      <c r="F3" s="2"/>
      <c r="G3" s="2"/>
      <c r="H3" s="2" t="s">
        <v>4</v>
      </c>
      <c r="I3" s="2" t="s">
        <v>5</v>
      </c>
      <c r="J3" t="s">
        <v>6</v>
      </c>
      <c r="K3" t="s">
        <v>7</v>
      </c>
    </row>
    <row r="4" spans="1:11" x14ac:dyDescent="0.35">
      <c r="A4" s="3">
        <v>0.9</v>
      </c>
      <c r="B4" s="2">
        <f>-_xlfn.NORM.S.INV((1-A4)/2)</f>
        <v>1.6448536269514726</v>
      </c>
      <c r="C4" s="5">
        <f>$D$1-B4*$H$1</f>
        <v>6230.5687996725246</v>
      </c>
      <c r="D4" s="5">
        <f>$D$1+B4*$H$1</f>
        <v>6849.4312003274754</v>
      </c>
      <c r="E4" s="5">
        <f>D4-C4</f>
        <v>618.86240065495076</v>
      </c>
      <c r="F4" s="2"/>
      <c r="G4" s="2"/>
      <c r="H4" s="2">
        <v>1.6448536269514726</v>
      </c>
      <c r="I4" s="4">
        <v>5908.3762072506343</v>
      </c>
      <c r="J4" s="1">
        <v>7171.6237927493657</v>
      </c>
      <c r="K4" s="1">
        <v>1263.2475854987315</v>
      </c>
    </row>
    <row r="5" spans="1:11" x14ac:dyDescent="0.35">
      <c r="A5" s="3">
        <v>0.95</v>
      </c>
      <c r="B5" s="2">
        <f t="shared" ref="B5:B6" si="0">-_xlfn.NORM.S.INV((1-A5)/2)</f>
        <v>1.9599639845400536</v>
      </c>
      <c r="C5" s="5">
        <f>$D$1-B5*$H$1</f>
        <v>6171.2899832559124</v>
      </c>
      <c r="D5" s="5">
        <f>$D$1+B5*$H$1</f>
        <v>6908.7100167440876</v>
      </c>
      <c r="E5" s="5">
        <f t="shared" ref="E5:E6" si="1">D5-C5</f>
        <v>737.42003348817525</v>
      </c>
      <c r="F5" s="2"/>
      <c r="G5" s="2"/>
      <c r="H5" s="2">
        <v>1.9599639845400536</v>
      </c>
      <c r="I5" s="4">
        <v>5787.3738299366196</v>
      </c>
      <c r="J5" s="1">
        <v>7292.6261700633804</v>
      </c>
      <c r="K5" s="1">
        <v>1505.2523401267608</v>
      </c>
    </row>
    <row r="6" spans="1:11" x14ac:dyDescent="0.35">
      <c r="A6" s="3">
        <v>0.99</v>
      </c>
      <c r="B6" s="2">
        <f t="shared" si="0"/>
        <v>2.5758293035488999</v>
      </c>
      <c r="C6" s="5">
        <f>$D$1-B6*$H$1</f>
        <v>6055.4328992099818</v>
      </c>
      <c r="D6" s="5">
        <f>$D$1+B6*$H$1</f>
        <v>7024.5671007900182</v>
      </c>
      <c r="E6" s="5">
        <f t="shared" si="1"/>
        <v>969.13420158003646</v>
      </c>
      <c r="F6" s="2"/>
      <c r="G6" s="2"/>
      <c r="H6" s="2">
        <v>2.5758293035488999</v>
      </c>
      <c r="I6" s="4">
        <v>5550.8815474372223</v>
      </c>
      <c r="J6" s="1">
        <v>7529.1184525627777</v>
      </c>
      <c r="K6" s="1">
        <v>1978.2369051255555</v>
      </c>
    </row>
    <row r="7" spans="1:11" x14ac:dyDescent="0.35">
      <c r="A7" s="2"/>
      <c r="B7" s="2"/>
      <c r="C7" s="2"/>
      <c r="D7" s="2"/>
      <c r="E7" s="2"/>
      <c r="F7" s="2"/>
      <c r="G7" s="2"/>
      <c r="H7" s="2"/>
      <c r="I7" s="2"/>
    </row>
    <row r="8" spans="1:11" x14ac:dyDescent="0.35">
      <c r="C8" s="2"/>
      <c r="D8" s="2"/>
      <c r="E8" s="2"/>
      <c r="F8" s="2"/>
      <c r="G8" s="2"/>
      <c r="H8" s="2"/>
      <c r="I8" s="2"/>
    </row>
    <row r="9" spans="1:11" x14ac:dyDescent="0.35">
      <c r="A9" s="2"/>
      <c r="B9" s="2"/>
      <c r="C9" s="2"/>
      <c r="D9" s="2"/>
      <c r="E9" s="2"/>
      <c r="F9" s="2"/>
      <c r="G9" s="2"/>
      <c r="H9" s="2"/>
      <c r="I9" s="2"/>
    </row>
    <row r="10" spans="1:11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11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11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11" x14ac:dyDescent="0.35">
      <c r="A13" s="2"/>
      <c r="B13" s="2"/>
      <c r="C13" s="2"/>
      <c r="D13" s="2"/>
      <c r="E13" s="2"/>
      <c r="F13" s="2"/>
      <c r="G13" s="2"/>
      <c r="H13" s="2"/>
      <c r="I13" s="2"/>
    </row>
    <row r="14" spans="1:11" x14ac:dyDescent="0.35">
      <c r="A14" s="2"/>
      <c r="B14" s="2"/>
      <c r="C14" s="2"/>
      <c r="D14" s="2"/>
      <c r="E14" s="2"/>
      <c r="F14" s="2"/>
      <c r="G14" s="2"/>
      <c r="H14" s="2"/>
      <c r="I14" s="2"/>
    </row>
    <row r="27" spans="1:13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35">
      <c r="A28" s="3"/>
      <c r="B28" s="2"/>
      <c r="C28" s="4"/>
      <c r="D28" s="4"/>
      <c r="E28" s="4"/>
      <c r="F28" s="2"/>
      <c r="G28" s="2"/>
      <c r="H28" s="4"/>
      <c r="I28" s="4"/>
      <c r="J28" s="4"/>
      <c r="K28" s="2"/>
      <c r="L28" s="2"/>
      <c r="M28" s="2"/>
    </row>
    <row r="29" spans="1:13" x14ac:dyDescent="0.35">
      <c r="A29" s="3"/>
      <c r="B29" s="2"/>
      <c r="C29" s="4"/>
      <c r="D29" s="4"/>
      <c r="E29" s="4"/>
      <c r="F29" s="2"/>
      <c r="G29" s="2"/>
      <c r="H29" s="4"/>
      <c r="I29" s="4"/>
      <c r="J29" s="4"/>
      <c r="K29" s="2"/>
      <c r="L29" s="2"/>
      <c r="M29" s="2"/>
    </row>
    <row r="30" spans="1:13" x14ac:dyDescent="0.35">
      <c r="A30" s="3"/>
      <c r="B30" s="2"/>
      <c r="C30" s="4"/>
      <c r="D30" s="4"/>
      <c r="E30" s="4"/>
      <c r="F30" s="2"/>
      <c r="G30" s="2"/>
      <c r="H30" s="4"/>
      <c r="I30" s="4"/>
      <c r="J30" s="4"/>
      <c r="K30" s="2"/>
      <c r="L30" s="2"/>
      <c r="M30" s="2"/>
    </row>
    <row r="31" spans="1:13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Palisade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Westwig</dc:creator>
  <cp:lastModifiedBy>Nagadevara V</cp:lastModifiedBy>
  <dcterms:created xsi:type="dcterms:W3CDTF">2014-05-15T14:19:01Z</dcterms:created>
  <dcterms:modified xsi:type="dcterms:W3CDTF">2021-01-22T12:22:15Z</dcterms:modified>
</cp:coreProperties>
</file>