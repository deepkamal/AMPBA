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shek/Downloads/"/>
    </mc:Choice>
  </mc:AlternateContent>
  <xr:revisionPtr revIDLastSave="0" documentId="8_{548D62DE-BC0B-C54D-99B2-09DB8ED7581F}" xr6:coauthVersionLast="46" xr6:coauthVersionMax="46" xr10:uidLastSave="{00000000-0000-0000-0000-000000000000}"/>
  <bookViews>
    <workbookView xWindow="780" yWindow="1000" windowWidth="27640" windowHeight="16440" activeTab="2" xr2:uid="{345B49E1-9D74-884E-840C-8105027D6C7D}"/>
  </bookViews>
  <sheets>
    <sheet name="Answer Report 1" sheetId="2" r:id="rId1"/>
    <sheet name="Sensitivity Report 1" sheetId="3" r:id="rId2"/>
    <sheet name="Sheet1" sheetId="1" r:id="rId3"/>
  </sheets>
  <definedNames>
    <definedName name="solver_adj" localSheetId="2" hidden="1">Sheet1!$C$16:$F$19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itr" localSheetId="2" hidden="1">2147483647</definedName>
    <definedName name="solver_lhs1" localSheetId="2" hidden="1">Sheet1!$C$20:$F$20</definedName>
    <definedName name="solver_lhs2" localSheetId="2" hidden="1">Sheet1!$G$16:$G$19</definedName>
    <definedName name="solver_lin" localSheetId="2" hidden="1">1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opt" localSheetId="2" hidden="1">Sheet1!$C$23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1</definedName>
    <definedName name="solver_rhs1" localSheetId="2" hidden="1">Sheet1!$C$9:$F$9</definedName>
    <definedName name="solver_rhs2" localSheetId="2" hidden="1">Sheet1!$G$5:$G$8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D20" i="1"/>
  <c r="E20" i="1"/>
  <c r="F20" i="1"/>
  <c r="C20" i="1"/>
  <c r="G17" i="1"/>
  <c r="G18" i="1"/>
  <c r="G19" i="1"/>
  <c r="G16" i="1"/>
</calcChain>
</file>

<file path=xl/sharedStrings.xml><?xml version="1.0" encoding="utf-8"?>
<sst xmlns="http://schemas.openxmlformats.org/spreadsheetml/2006/main" count="209" uniqueCount="109">
  <si>
    <t>Mumbai</t>
  </si>
  <si>
    <t>Delhi</t>
  </si>
  <si>
    <t>Hyderabad</t>
  </si>
  <si>
    <t>Bangalore</t>
  </si>
  <si>
    <t>Capacity</t>
  </si>
  <si>
    <t>F1</t>
  </si>
  <si>
    <t>F2</t>
  </si>
  <si>
    <t>F3</t>
  </si>
  <si>
    <t>F4</t>
  </si>
  <si>
    <t>Demand</t>
  </si>
  <si>
    <t>Total stuff</t>
  </si>
  <si>
    <t>Microsoft Excel 16.47 Answer Report</t>
  </si>
  <si>
    <t>Worksheet: [Book2]Sheet1</t>
  </si>
  <si>
    <t>Report Created: 27/03/21 1:27:22 PM</t>
  </si>
  <si>
    <t>Result: Solver found a solution.  All constraints and optimality conditions are satisfied.</t>
  </si>
  <si>
    <t>Solver Engine</t>
  </si>
  <si>
    <t>Engine: Simplex LP</t>
  </si>
  <si>
    <t>Solution Time: 4321.372 Seconds.</t>
  </si>
  <si>
    <t>Iterations: 13 Subproblems: 0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</si>
  <si>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</si>
  <si>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</si>
  <si>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</si>
  <si>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</si>
  <si>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</si>
  <si>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</si>
  <si>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</si>
  <si>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</si>
  <si>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</si>
  <si>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</si>
  <si>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</si>
  <si>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</si>
  <si>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</si>
  <si>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</si>
  <si>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</si>
  <si>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$C$23</t>
  </si>
  <si>
    <t>Total stuff Mumbai</t>
  </si>
  <si>
    <t>$C$16</t>
  </si>
  <si>
    <t>F1 Mumbai</t>
  </si>
  <si>
    <t>Contin</t>
  </si>
  <si>
    <t>$D$16</t>
  </si>
  <si>
    <t>F1 Delhi</t>
  </si>
  <si>
    <t>$E$16</t>
  </si>
  <si>
    <t>F1 Hyderabad</t>
  </si>
  <si>
    <t>$F$16</t>
  </si>
  <si>
    <t>F1 Bangalore</t>
  </si>
  <si>
    <t>$C$17</t>
  </si>
  <si>
    <t>F2 Mumbai</t>
  </si>
  <si>
    <t>$D$17</t>
  </si>
  <si>
    <t>F2 Delhi</t>
  </si>
  <si>
    <t>$E$17</t>
  </si>
  <si>
    <t>F2 Hyderabad</t>
  </si>
  <si>
    <t>$F$17</t>
  </si>
  <si>
    <t>F2 Bangalore</t>
  </si>
  <si>
    <t>$C$18</t>
  </si>
  <si>
    <t>F3 Mumbai</t>
  </si>
  <si>
    <t>$D$18</t>
  </si>
  <si>
    <t>F3 Delhi</t>
  </si>
  <si>
    <t>$E$18</t>
  </si>
  <si>
    <t>F3 Hyderabad</t>
  </si>
  <si>
    <t>$F$18</t>
  </si>
  <si>
    <t>F3 Bangalore</t>
  </si>
  <si>
    <t>$C$19</t>
  </si>
  <si>
    <t>F4 Mumbai</t>
  </si>
  <si>
    <t>$D$19</t>
  </si>
  <si>
    <t>F4 Delhi</t>
  </si>
  <si>
    <t>$E$19</t>
  </si>
  <si>
    <t>F4 Hyderabad</t>
  </si>
  <si>
    <t>$F$19</t>
  </si>
  <si>
    <t>F4 Bangalore</t>
  </si>
  <si>
    <t>$C$20</t>
  </si>
  <si>
    <t>Demand Mumbai</t>
  </si>
  <si>
    <t>$C$20=$C$9</t>
  </si>
  <si>
    <t>Binding</t>
  </si>
  <si>
    <t>$D$20</t>
  </si>
  <si>
    <t>Demand Delhi</t>
  </si>
  <si>
    <t>$D$20=$D$9</t>
  </si>
  <si>
    <t>$E$20</t>
  </si>
  <si>
    <t>Demand Hyderabad</t>
  </si>
  <si>
    <t>$E$20=$E$9</t>
  </si>
  <si>
    <t>$F$20</t>
  </si>
  <si>
    <t>Demand Bangalore</t>
  </si>
  <si>
    <t>$F$20=$F$9</t>
  </si>
  <si>
    <t>$G$16</t>
  </si>
  <si>
    <t>F1 Capacity</t>
  </si>
  <si>
    <t>$G$16&lt;=$G$5</t>
  </si>
  <si>
    <t>$G$17</t>
  </si>
  <si>
    <t>F2 Capacity</t>
  </si>
  <si>
    <t>$G$17&lt;=$G$6</t>
  </si>
  <si>
    <t>$G$18</t>
  </si>
  <si>
    <t>F3 Capacity</t>
  </si>
  <si>
    <t>$G$18&lt;=$G$7</t>
  </si>
  <si>
    <t>$G$19</t>
  </si>
  <si>
    <t>F4 Capacity</t>
  </si>
  <si>
    <t>$G$19&lt;=$G$8</t>
  </si>
  <si>
    <t>Microsoft Excel 16.47 Sensitivity Report</t>
  </si>
  <si>
    <t>Report Created: 27/03/21 1:27:23 PM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</si>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</sst>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name val="Arial"/>
    </font>
    <font>
      <b/>
      <sz val="20"/>
      <color rgb="FFFFFFFF"/>
      <name val="Arial"/>
    </font>
    <font>
      <sz val="20"/>
      <color rgb="FF000000"/>
      <name val="Arial"/>
    </font>
    <font>
      <b/>
      <sz val="20"/>
      <color rgb="FF000000"/>
      <name val="Arial"/>
    </font>
    <font>
      <b/>
      <sz val="12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7" xfId="0" applyFill="1" applyBorder="1" applyAlignment="1"/>
    <xf numFmtId="0" fontId="6" fillId="0" borderId="6" xfId="0" applyFont="1" applyFill="1" applyBorder="1" applyAlignment="1">
      <alignment horizontal="center"/>
    </xf>
    <xf numFmtId="0" fontId="0" fillId="0" borderId="8" xfId="0" applyFill="1" applyBorder="1" applyAlignment="1"/>
    <xf numFmtId="0" fontId="0" fillId="0" borderId="7" xfId="0" applyNumberFormat="1" applyFill="1" applyBorder="1" applyAlignment="1"/>
    <xf numFmtId="0" fontId="0" fillId="0" borderId="8" xfId="0" applyNumberFormat="1" applyFill="1" applyBorder="1" applyAlignment="1"/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44FC-AC66-B744-ADDD-F7E68D2A74FE}">
  <dimension ref="A1:G48"/>
  <sheetViews>
    <sheetView showGridLines="0" workbookViewId="0"/>
  </sheetViews>
  <sheetFormatPr baseColWidth="10" defaultRowHeight="16" x14ac:dyDescent="0.2"/>
  <cols>
    <col min="1" max="1" width="2.33203125" customWidth="1"/>
    <col min="2" max="2" width="6.5" bestFit="1" customWidth="1"/>
    <col min="3" max="3" width="17.33203125" bestFit="1" customWidth="1"/>
    <col min="4" max="5" width="12.83203125" bestFit="1" customWidth="1"/>
    <col min="6" max="6" width="7.33203125" bestFit="1" customWidth="1"/>
    <col min="7" max="7" width="5.5" bestFit="1" customWidth="1"/>
  </cols>
  <sheetData>
    <row r="1" spans="1:5" x14ac:dyDescent="0.2">
      <c r="A1" s="8" t="s">
        <v>11</v>
      </c>
    </row>
    <row r="2" spans="1:5" x14ac:dyDescent="0.2">
      <c r="A2" s="8" t="s">
        <v>12</v>
      </c>
    </row>
    <row r="3" spans="1:5" x14ac:dyDescent="0.2">
      <c r="A3" s="8" t="s">
        <v>13</v>
      </c>
    </row>
    <row r="4" spans="1:5" x14ac:dyDescent="0.2">
      <c r="A4" s="8" t="s">
        <v>14</v>
      </c>
    </row>
    <row r="5" spans="1:5" x14ac:dyDescent="0.2">
      <c r="A5" s="8" t="s">
        <v>15</v>
      </c>
    </row>
    <row r="6" spans="1:5" x14ac:dyDescent="0.2">
      <c r="A6" s="8"/>
      <c r="B6" t="s">
        <v>16</v>
      </c>
    </row>
    <row r="7" spans="1:5" x14ac:dyDescent="0.2">
      <c r="A7" s="8"/>
      <c r="B7" t="s">
        <v>17</v>
      </c>
    </row>
    <row r="8" spans="1:5" x14ac:dyDescent="0.2">
      <c r="A8" s="8"/>
      <c r="B8" t="s">
        <v>18</v>
      </c>
    </row>
    <row r="9" spans="1:5" x14ac:dyDescent="0.2">
      <c r="A9" s="8" t="s">
        <v>19</v>
      </c>
    </row>
    <row r="10" spans="1:5" x14ac:dyDescent="0.2">
      <c r="B10" t="s">
        <v>20</v>
      </c>
    </row>
    <row r="11" spans="1:5" x14ac:dyDescent="0.2">
      <c r="B11" t="s">
        <v>21</v>
      </c>
    </row>
    <row r="14" spans="1:5" ht="17" thickBot="1" x14ac:dyDescent="0.25">
      <c r="A14" t="s">
        <v>22</v>
      </c>
    </row>
    <row r="15" spans="1:5" ht="17" thickBot="1" x14ac:dyDescent="0.25">
      <c r="B15" s="10" t="s">
        <v>23</v>
      </c>
      <c r="C15" s="10" t="s">
        <v>24</v>
      </c>
      <c r="D15" s="10" t="s">
        <v>25</v>
      </c>
      <c r="E15" s="10" t="s">
        <v>26</v>
      </c>
    </row>
    <row r="16" spans="1:5" ht="17" thickBot="1" x14ac:dyDescent="0.25">
      <c r="B16" s="9" t="s">
        <v>34</v>
      </c>
      <c r="C16" s="9" t="s">
        <v>35</v>
      </c>
      <c r="D16" s="12">
        <v>0</v>
      </c>
      <c r="E16" s="12">
        <v>355000</v>
      </c>
    </row>
    <row r="19" spans="1:6" ht="17" thickBot="1" x14ac:dyDescent="0.25">
      <c r="A19" t="s">
        <v>27</v>
      </c>
    </row>
    <row r="20" spans="1:6" ht="17" thickBot="1" x14ac:dyDescent="0.25">
      <c r="B20" s="10" t="s">
        <v>23</v>
      </c>
      <c r="C20" s="10" t="s">
        <v>24</v>
      </c>
      <c r="D20" s="10" t="s">
        <v>25</v>
      </c>
      <c r="E20" s="10" t="s">
        <v>26</v>
      </c>
      <c r="F20" s="10" t="s">
        <v>28</v>
      </c>
    </row>
    <row r="21" spans="1:6" x14ac:dyDescent="0.2">
      <c r="B21" s="11" t="s">
        <v>36</v>
      </c>
      <c r="C21" s="11" t="s">
        <v>37</v>
      </c>
      <c r="D21" s="13">
        <v>0</v>
      </c>
      <c r="E21" s="13">
        <v>500</v>
      </c>
      <c r="F21" s="11" t="s">
        <v>38</v>
      </c>
    </row>
    <row r="22" spans="1:6" x14ac:dyDescent="0.2">
      <c r="B22" s="11" t="s">
        <v>39</v>
      </c>
      <c r="C22" s="11" t="s">
        <v>40</v>
      </c>
      <c r="D22" s="13">
        <v>0</v>
      </c>
      <c r="E22" s="13">
        <v>2000</v>
      </c>
      <c r="F22" s="11" t="s">
        <v>38</v>
      </c>
    </row>
    <row r="23" spans="1:6" x14ac:dyDescent="0.2">
      <c r="B23" s="11" t="s">
        <v>41</v>
      </c>
      <c r="C23" s="11" t="s">
        <v>42</v>
      </c>
      <c r="D23" s="13">
        <v>0</v>
      </c>
      <c r="E23" s="13">
        <v>0</v>
      </c>
      <c r="F23" s="11" t="s">
        <v>38</v>
      </c>
    </row>
    <row r="24" spans="1:6" x14ac:dyDescent="0.2">
      <c r="B24" s="11" t="s">
        <v>43</v>
      </c>
      <c r="C24" s="11" t="s">
        <v>44</v>
      </c>
      <c r="D24" s="13">
        <v>0</v>
      </c>
      <c r="E24" s="13">
        <v>0</v>
      </c>
      <c r="F24" s="11" t="s">
        <v>38</v>
      </c>
    </row>
    <row r="25" spans="1:6" x14ac:dyDescent="0.2">
      <c r="B25" s="11" t="s">
        <v>45</v>
      </c>
      <c r="C25" s="11" t="s">
        <v>46</v>
      </c>
      <c r="D25" s="13">
        <v>0</v>
      </c>
      <c r="E25" s="13">
        <v>1000</v>
      </c>
      <c r="F25" s="11" t="s">
        <v>38</v>
      </c>
    </row>
    <row r="26" spans="1:6" x14ac:dyDescent="0.2">
      <c r="B26" s="11" t="s">
        <v>47</v>
      </c>
      <c r="C26" s="11" t="s">
        <v>48</v>
      </c>
      <c r="D26" s="13">
        <v>0</v>
      </c>
      <c r="E26" s="13">
        <v>0</v>
      </c>
      <c r="F26" s="11" t="s">
        <v>38</v>
      </c>
    </row>
    <row r="27" spans="1:6" x14ac:dyDescent="0.2">
      <c r="B27" s="11" t="s">
        <v>49</v>
      </c>
      <c r="C27" s="11" t="s">
        <v>50</v>
      </c>
      <c r="D27" s="13">
        <v>0</v>
      </c>
      <c r="E27" s="13">
        <v>0</v>
      </c>
      <c r="F27" s="11" t="s">
        <v>38</v>
      </c>
    </row>
    <row r="28" spans="1:6" x14ac:dyDescent="0.2">
      <c r="B28" s="11" t="s">
        <v>51</v>
      </c>
      <c r="C28" s="11" t="s">
        <v>52</v>
      </c>
      <c r="D28" s="13">
        <v>0</v>
      </c>
      <c r="E28" s="13">
        <v>2000</v>
      </c>
      <c r="F28" s="11" t="s">
        <v>38</v>
      </c>
    </row>
    <row r="29" spans="1:6" x14ac:dyDescent="0.2">
      <c r="B29" s="11" t="s">
        <v>53</v>
      </c>
      <c r="C29" s="11" t="s">
        <v>54</v>
      </c>
      <c r="D29" s="13">
        <v>0</v>
      </c>
      <c r="E29" s="13">
        <v>1000</v>
      </c>
      <c r="F29" s="11" t="s">
        <v>38</v>
      </c>
    </row>
    <row r="30" spans="1:6" x14ac:dyDescent="0.2">
      <c r="B30" s="11" t="s">
        <v>55</v>
      </c>
      <c r="C30" s="11" t="s">
        <v>56</v>
      </c>
      <c r="D30" s="13">
        <v>0</v>
      </c>
      <c r="E30" s="13">
        <v>0</v>
      </c>
      <c r="F30" s="11" t="s">
        <v>38</v>
      </c>
    </row>
    <row r="31" spans="1:6" x14ac:dyDescent="0.2">
      <c r="B31" s="11" t="s">
        <v>57</v>
      </c>
      <c r="C31" s="11" t="s">
        <v>58</v>
      </c>
      <c r="D31" s="13">
        <v>0</v>
      </c>
      <c r="E31" s="13">
        <v>0</v>
      </c>
      <c r="F31" s="11" t="s">
        <v>38</v>
      </c>
    </row>
    <row r="32" spans="1:6" x14ac:dyDescent="0.2">
      <c r="B32" s="11" t="s">
        <v>59</v>
      </c>
      <c r="C32" s="11" t="s">
        <v>60</v>
      </c>
      <c r="D32" s="13">
        <v>0</v>
      </c>
      <c r="E32" s="13">
        <v>0</v>
      </c>
      <c r="F32" s="11" t="s">
        <v>38</v>
      </c>
    </row>
    <row r="33" spans="1:7" x14ac:dyDescent="0.2">
      <c r="B33" s="11" t="s">
        <v>61</v>
      </c>
      <c r="C33" s="11" t="s">
        <v>62</v>
      </c>
      <c r="D33" s="13">
        <v>0</v>
      </c>
      <c r="E33" s="13">
        <v>0</v>
      </c>
      <c r="F33" s="11" t="s">
        <v>38</v>
      </c>
    </row>
    <row r="34" spans="1:7" x14ac:dyDescent="0.2">
      <c r="B34" s="11" t="s">
        <v>63</v>
      </c>
      <c r="C34" s="11" t="s">
        <v>64</v>
      </c>
      <c r="D34" s="13">
        <v>0</v>
      </c>
      <c r="E34" s="13">
        <v>0</v>
      </c>
      <c r="F34" s="11" t="s">
        <v>38</v>
      </c>
    </row>
    <row r="35" spans="1:7" x14ac:dyDescent="0.2">
      <c r="B35" s="11" t="s">
        <v>65</v>
      </c>
      <c r="C35" s="11" t="s">
        <v>66</v>
      </c>
      <c r="D35" s="13">
        <v>0</v>
      </c>
      <c r="E35" s="13">
        <v>2000</v>
      </c>
      <c r="F35" s="11" t="s">
        <v>38</v>
      </c>
    </row>
    <row r="36" spans="1:7" ht="17" thickBot="1" x14ac:dyDescent="0.25">
      <c r="B36" s="9" t="s">
        <v>67</v>
      </c>
      <c r="C36" s="9" t="s">
        <v>68</v>
      </c>
      <c r="D36" s="12">
        <v>0</v>
      </c>
      <c r="E36" s="12">
        <v>0</v>
      </c>
      <c r="F36" s="9" t="s">
        <v>38</v>
      </c>
    </row>
    <row r="39" spans="1:7" ht="17" thickBot="1" x14ac:dyDescent="0.25">
      <c r="A39" t="s">
        <v>29</v>
      </c>
    </row>
    <row r="40" spans="1:7" ht="17" thickBot="1" x14ac:dyDescent="0.25">
      <c r="B40" s="10" t="s">
        <v>23</v>
      </c>
      <c r="C40" s="10" t="s">
        <v>24</v>
      </c>
      <c r="D40" s="10" t="s">
        <v>30</v>
      </c>
      <c r="E40" s="10" t="s">
        <v>31</v>
      </c>
      <c r="F40" s="10" t="s">
        <v>32</v>
      </c>
      <c r="G40" s="10" t="s">
        <v>33</v>
      </c>
    </row>
    <row r="41" spans="1:7" x14ac:dyDescent="0.2">
      <c r="B41" s="11" t="s">
        <v>69</v>
      </c>
      <c r="C41" s="11" t="s">
        <v>70</v>
      </c>
      <c r="D41" s="13">
        <v>2500</v>
      </c>
      <c r="E41" s="11" t="s">
        <v>71</v>
      </c>
      <c r="F41" s="11" t="s">
        <v>72</v>
      </c>
      <c r="G41" s="11">
        <v>0</v>
      </c>
    </row>
    <row r="42" spans="1:7" x14ac:dyDescent="0.2">
      <c r="B42" s="11" t="s">
        <v>73</v>
      </c>
      <c r="C42" s="11" t="s">
        <v>74</v>
      </c>
      <c r="D42" s="13">
        <v>2000</v>
      </c>
      <c r="E42" s="11" t="s">
        <v>75</v>
      </c>
      <c r="F42" s="11" t="s">
        <v>72</v>
      </c>
      <c r="G42" s="11">
        <v>0</v>
      </c>
    </row>
    <row r="43" spans="1:7" x14ac:dyDescent="0.2">
      <c r="B43" s="11" t="s">
        <v>76</v>
      </c>
      <c r="C43" s="11" t="s">
        <v>77</v>
      </c>
      <c r="D43" s="13">
        <v>2000</v>
      </c>
      <c r="E43" s="11" t="s">
        <v>78</v>
      </c>
      <c r="F43" s="11" t="s">
        <v>72</v>
      </c>
      <c r="G43" s="11">
        <v>0</v>
      </c>
    </row>
    <row r="44" spans="1:7" x14ac:dyDescent="0.2">
      <c r="B44" s="11" t="s">
        <v>79</v>
      </c>
      <c r="C44" s="11" t="s">
        <v>80</v>
      </c>
      <c r="D44" s="13">
        <v>2000</v>
      </c>
      <c r="E44" s="11" t="s">
        <v>81</v>
      </c>
      <c r="F44" s="11" t="s">
        <v>72</v>
      </c>
      <c r="G44" s="11">
        <v>0</v>
      </c>
    </row>
    <row r="45" spans="1:7" x14ac:dyDescent="0.2">
      <c r="B45" s="11" t="s">
        <v>82</v>
      </c>
      <c r="C45" s="11" t="s">
        <v>83</v>
      </c>
      <c r="D45" s="13">
        <v>2500</v>
      </c>
      <c r="E45" s="11" t="s">
        <v>84</v>
      </c>
      <c r="F45" s="11" t="s">
        <v>72</v>
      </c>
      <c r="G45" s="11">
        <v>0</v>
      </c>
    </row>
    <row r="46" spans="1:7" x14ac:dyDescent="0.2">
      <c r="B46" s="11" t="s">
        <v>85</v>
      </c>
      <c r="C46" s="11" t="s">
        <v>86</v>
      </c>
      <c r="D46" s="13">
        <v>3000</v>
      </c>
      <c r="E46" s="11" t="s">
        <v>87</v>
      </c>
      <c r="F46" s="11" t="s">
        <v>72</v>
      </c>
      <c r="G46" s="11">
        <v>0</v>
      </c>
    </row>
    <row r="47" spans="1:7" x14ac:dyDescent="0.2">
      <c r="B47" s="11" t="s">
        <v>88</v>
      </c>
      <c r="C47" s="11" t="s">
        <v>89</v>
      </c>
      <c r="D47" s="13">
        <v>1000</v>
      </c>
      <c r="E47" s="11" t="s">
        <v>90</v>
      </c>
      <c r="F47" s="11" t="s">
        <v>72</v>
      </c>
      <c r="G47" s="11">
        <v>0</v>
      </c>
    </row>
    <row r="48" spans="1:7" ht="17" thickBot="1" x14ac:dyDescent="0.25">
      <c r="B48" s="9" t="s">
        <v>91</v>
      </c>
      <c r="C48" s="9" t="s">
        <v>92</v>
      </c>
      <c r="D48" s="12">
        <v>2000</v>
      </c>
      <c r="E48" s="9" t="s">
        <v>93</v>
      </c>
      <c r="F48" s="9" t="s">
        <v>72</v>
      </c>
      <c r="G48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5079-7236-3341-8F69-5DCCEF07CC56}">
  <dimension ref="A1:H36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6.5" bestFit="1" customWidth="1"/>
    <col min="3" max="3" width="17.33203125" bestFit="1" customWidth="1"/>
    <col min="4" max="4" width="5.83203125" bestFit="1" customWidth="1"/>
    <col min="5" max="5" width="8.1640625" bestFit="1" customWidth="1"/>
    <col min="6" max="6" width="10" bestFit="1" customWidth="1"/>
    <col min="7" max="8" width="9.33203125" bestFit="1" customWidth="1"/>
  </cols>
  <sheetData>
    <row r="1" spans="1:8" x14ac:dyDescent="0.2">
      <c r="A1" s="8" t="s">
        <v>94</v>
      </c>
    </row>
    <row r="2" spans="1:8" x14ac:dyDescent="0.2">
      <c r="A2" s="8" t="s">
        <v>12</v>
      </c>
    </row>
    <row r="3" spans="1:8" x14ac:dyDescent="0.2">
      <c r="A3" s="8" t="s">
        <v>95</v>
      </c>
    </row>
    <row r="6" spans="1:8" ht="17" thickBot="1" x14ac:dyDescent="0.25">
      <c r="A6" t="s">
        <v>27</v>
      </c>
    </row>
    <row r="7" spans="1:8" x14ac:dyDescent="0.2">
      <c r="B7" s="14"/>
      <c r="C7" s="14"/>
      <c r="D7" s="14" t="s">
        <v>96</v>
      </c>
      <c r="E7" s="14" t="s">
        <v>98</v>
      </c>
      <c r="F7" s="14" t="s">
        <v>100</v>
      </c>
      <c r="G7" s="14" t="s">
        <v>102</v>
      </c>
      <c r="H7" s="14" t="s">
        <v>102</v>
      </c>
    </row>
    <row r="8" spans="1:8" ht="17" thickBot="1" x14ac:dyDescent="0.25">
      <c r="B8" s="15" t="s">
        <v>23</v>
      </c>
      <c r="C8" s="15" t="s">
        <v>24</v>
      </c>
      <c r="D8" s="15" t="s">
        <v>97</v>
      </c>
      <c r="E8" s="15" t="s">
        <v>99</v>
      </c>
      <c r="F8" s="15" t="s">
        <v>101</v>
      </c>
      <c r="G8" s="15" t="s">
        <v>103</v>
      </c>
      <c r="H8" s="15" t="s">
        <v>104</v>
      </c>
    </row>
    <row r="9" spans="1:8" x14ac:dyDescent="0.2">
      <c r="B9" s="11" t="s">
        <v>36</v>
      </c>
      <c r="C9" s="11" t="s">
        <v>37</v>
      </c>
      <c r="D9" s="11">
        <v>500</v>
      </c>
      <c r="E9" s="11">
        <v>0</v>
      </c>
      <c r="F9" s="11">
        <v>50</v>
      </c>
      <c r="G9" s="11">
        <v>20</v>
      </c>
      <c r="H9" s="11">
        <v>10</v>
      </c>
    </row>
    <row r="10" spans="1:8" x14ac:dyDescent="0.2">
      <c r="B10" s="11" t="s">
        <v>39</v>
      </c>
      <c r="C10" s="11" t="s">
        <v>40</v>
      </c>
      <c r="D10" s="11">
        <v>2000</v>
      </c>
      <c r="E10" s="11">
        <v>0</v>
      </c>
      <c r="F10" s="11">
        <v>40</v>
      </c>
      <c r="G10" s="11">
        <v>10</v>
      </c>
      <c r="H10" s="11">
        <v>1E+30</v>
      </c>
    </row>
    <row r="11" spans="1:8" x14ac:dyDescent="0.2">
      <c r="B11" s="11" t="s">
        <v>41</v>
      </c>
      <c r="C11" s="11" t="s">
        <v>42</v>
      </c>
      <c r="D11" s="11">
        <v>0</v>
      </c>
      <c r="E11" s="11">
        <v>20</v>
      </c>
      <c r="F11" s="11">
        <v>60</v>
      </c>
      <c r="G11" s="11">
        <v>1E+30</v>
      </c>
      <c r="H11" s="11">
        <v>20</v>
      </c>
    </row>
    <row r="12" spans="1:8" x14ac:dyDescent="0.2">
      <c r="B12" s="11" t="s">
        <v>43</v>
      </c>
      <c r="C12" s="11" t="s">
        <v>44</v>
      </c>
      <c r="D12" s="11">
        <v>0</v>
      </c>
      <c r="E12" s="11">
        <v>40</v>
      </c>
      <c r="F12" s="11">
        <v>30</v>
      </c>
      <c r="G12" s="11">
        <v>1E+30</v>
      </c>
      <c r="H12" s="11">
        <v>40</v>
      </c>
    </row>
    <row r="13" spans="1:8" x14ac:dyDescent="0.2">
      <c r="B13" s="11" t="s">
        <v>45</v>
      </c>
      <c r="C13" s="11" t="s">
        <v>46</v>
      </c>
      <c r="D13" s="11">
        <v>1000</v>
      </c>
      <c r="E13" s="11">
        <v>0</v>
      </c>
      <c r="F13" s="11">
        <v>70</v>
      </c>
      <c r="G13" s="11">
        <v>0</v>
      </c>
      <c r="H13" s="11">
        <v>40</v>
      </c>
    </row>
    <row r="14" spans="1:8" x14ac:dyDescent="0.2">
      <c r="B14" s="11" t="s">
        <v>47</v>
      </c>
      <c r="C14" s="11" t="s">
        <v>48</v>
      </c>
      <c r="D14" s="11">
        <v>0</v>
      </c>
      <c r="E14" s="11">
        <v>20</v>
      </c>
      <c r="F14" s="11">
        <v>80</v>
      </c>
      <c r="G14" s="11">
        <v>1E+30</v>
      </c>
      <c r="H14" s="11">
        <v>20</v>
      </c>
    </row>
    <row r="15" spans="1:8" x14ac:dyDescent="0.2">
      <c r="B15" s="11" t="s">
        <v>49</v>
      </c>
      <c r="C15" s="11" t="s">
        <v>50</v>
      </c>
      <c r="D15" s="11">
        <v>0</v>
      </c>
      <c r="E15" s="11">
        <v>20</v>
      </c>
      <c r="F15" s="11">
        <v>80</v>
      </c>
      <c r="G15" s="11">
        <v>1E+30</v>
      </c>
      <c r="H15" s="11">
        <v>20</v>
      </c>
    </row>
    <row r="16" spans="1:8" x14ac:dyDescent="0.2">
      <c r="B16" s="11" t="s">
        <v>51</v>
      </c>
      <c r="C16" s="11" t="s">
        <v>52</v>
      </c>
      <c r="D16" s="11">
        <v>2000</v>
      </c>
      <c r="E16" s="11">
        <v>0</v>
      </c>
      <c r="F16" s="11">
        <v>10</v>
      </c>
      <c r="G16" s="11">
        <v>40</v>
      </c>
      <c r="H16" s="11">
        <v>1E+30</v>
      </c>
    </row>
    <row r="17" spans="1:8" x14ac:dyDescent="0.2">
      <c r="B17" s="11" t="s">
        <v>53</v>
      </c>
      <c r="C17" s="11" t="s">
        <v>54</v>
      </c>
      <c r="D17" s="11">
        <v>1000</v>
      </c>
      <c r="E17" s="11">
        <v>0</v>
      </c>
      <c r="F17" s="11">
        <v>40</v>
      </c>
      <c r="G17" s="11">
        <v>10</v>
      </c>
      <c r="H17" s="11">
        <v>0</v>
      </c>
    </row>
    <row r="18" spans="1:8" x14ac:dyDescent="0.2">
      <c r="B18" s="11" t="s">
        <v>55</v>
      </c>
      <c r="C18" s="11" t="s">
        <v>56</v>
      </c>
      <c r="D18" s="11">
        <v>0</v>
      </c>
      <c r="E18" s="11">
        <v>10</v>
      </c>
      <c r="F18" s="11">
        <v>40</v>
      </c>
      <c r="G18" s="11">
        <v>1E+30</v>
      </c>
      <c r="H18" s="11">
        <v>10</v>
      </c>
    </row>
    <row r="19" spans="1:8" x14ac:dyDescent="0.2">
      <c r="B19" s="11" t="s">
        <v>57</v>
      </c>
      <c r="C19" s="11" t="s">
        <v>58</v>
      </c>
      <c r="D19" s="11">
        <v>0</v>
      </c>
      <c r="E19" s="11">
        <v>0</v>
      </c>
      <c r="F19" s="11">
        <v>30</v>
      </c>
      <c r="G19" s="11">
        <v>0</v>
      </c>
      <c r="H19" s="11">
        <v>10</v>
      </c>
    </row>
    <row r="20" spans="1:8" x14ac:dyDescent="0.2">
      <c r="B20" s="11" t="s">
        <v>59</v>
      </c>
      <c r="C20" s="11" t="s">
        <v>60</v>
      </c>
      <c r="D20" s="11">
        <v>0</v>
      </c>
      <c r="E20" s="11">
        <v>80</v>
      </c>
      <c r="F20" s="11">
        <v>60</v>
      </c>
      <c r="G20" s="11">
        <v>1E+30</v>
      </c>
      <c r="H20" s="11">
        <v>80</v>
      </c>
    </row>
    <row r="21" spans="1:8" x14ac:dyDescent="0.2">
      <c r="B21" s="11" t="s">
        <v>61</v>
      </c>
      <c r="C21" s="11" t="s">
        <v>62</v>
      </c>
      <c r="D21" s="11">
        <v>0</v>
      </c>
      <c r="E21" s="11">
        <v>10</v>
      </c>
      <c r="F21" s="11">
        <v>80</v>
      </c>
      <c r="G21" s="11">
        <v>1E+30</v>
      </c>
      <c r="H21" s="11">
        <v>10</v>
      </c>
    </row>
    <row r="22" spans="1:8" x14ac:dyDescent="0.2">
      <c r="B22" s="11" t="s">
        <v>63</v>
      </c>
      <c r="C22" s="11" t="s">
        <v>64</v>
      </c>
      <c r="D22" s="11">
        <v>0</v>
      </c>
      <c r="E22" s="11">
        <v>10</v>
      </c>
      <c r="F22" s="11">
        <v>70</v>
      </c>
      <c r="G22" s="11">
        <v>1E+30</v>
      </c>
      <c r="H22" s="11">
        <v>10</v>
      </c>
    </row>
    <row r="23" spans="1:8" x14ac:dyDescent="0.2">
      <c r="B23" s="11" t="s">
        <v>65</v>
      </c>
      <c r="C23" s="11" t="s">
        <v>66</v>
      </c>
      <c r="D23" s="11">
        <v>2000</v>
      </c>
      <c r="E23" s="11">
        <v>0</v>
      </c>
      <c r="F23" s="11">
        <v>60</v>
      </c>
      <c r="G23" s="11">
        <v>10</v>
      </c>
      <c r="H23" s="11">
        <v>0</v>
      </c>
    </row>
    <row r="24" spans="1:8" ht="17" thickBot="1" x14ac:dyDescent="0.25">
      <c r="B24" s="9" t="s">
        <v>67</v>
      </c>
      <c r="C24" s="9" t="s">
        <v>68</v>
      </c>
      <c r="D24" s="9">
        <v>0</v>
      </c>
      <c r="E24" s="9">
        <v>70</v>
      </c>
      <c r="F24" s="9">
        <v>80</v>
      </c>
      <c r="G24" s="9">
        <v>1E+30</v>
      </c>
      <c r="H24" s="9">
        <v>70</v>
      </c>
    </row>
    <row r="26" spans="1:8" ht="17" thickBot="1" x14ac:dyDescent="0.25">
      <c r="A26" t="s">
        <v>29</v>
      </c>
    </row>
    <row r="27" spans="1:8" x14ac:dyDescent="0.2">
      <c r="B27" s="14"/>
      <c r="C27" s="14"/>
      <c r="D27" s="14" t="s">
        <v>96</v>
      </c>
      <c r="E27" s="14" t="s">
        <v>105</v>
      </c>
      <c r="F27" s="14" t="s">
        <v>107</v>
      </c>
      <c r="G27" s="14" t="s">
        <v>102</v>
      </c>
      <c r="H27" s="14" t="s">
        <v>102</v>
      </c>
    </row>
    <row r="28" spans="1:8" ht="17" thickBot="1" x14ac:dyDescent="0.25">
      <c r="B28" s="15" t="s">
        <v>23</v>
      </c>
      <c r="C28" s="15" t="s">
        <v>24</v>
      </c>
      <c r="D28" s="15" t="s">
        <v>97</v>
      </c>
      <c r="E28" s="15" t="s">
        <v>106</v>
      </c>
      <c r="F28" s="15" t="s">
        <v>108</v>
      </c>
      <c r="G28" s="15" t="s">
        <v>103</v>
      </c>
      <c r="H28" s="15" t="s">
        <v>104</v>
      </c>
    </row>
    <row r="29" spans="1:8" x14ac:dyDescent="0.2">
      <c r="B29" s="11" t="s">
        <v>69</v>
      </c>
      <c r="C29" s="11" t="s">
        <v>70</v>
      </c>
      <c r="D29" s="11">
        <v>2500</v>
      </c>
      <c r="E29" s="11">
        <v>70</v>
      </c>
      <c r="F29" s="11">
        <v>2500</v>
      </c>
      <c r="G29" s="11">
        <v>0</v>
      </c>
      <c r="H29" s="11">
        <v>1000</v>
      </c>
    </row>
    <row r="30" spans="1:8" x14ac:dyDescent="0.2">
      <c r="B30" s="11" t="s">
        <v>73</v>
      </c>
      <c r="C30" s="11" t="s">
        <v>74</v>
      </c>
      <c r="D30" s="11">
        <v>2000</v>
      </c>
      <c r="E30" s="11">
        <v>60</v>
      </c>
      <c r="F30" s="11">
        <v>2000</v>
      </c>
      <c r="G30" s="11">
        <v>0</v>
      </c>
      <c r="H30" s="11">
        <v>1000</v>
      </c>
    </row>
    <row r="31" spans="1:8" x14ac:dyDescent="0.2">
      <c r="B31" s="11" t="s">
        <v>76</v>
      </c>
      <c r="C31" s="11" t="s">
        <v>77</v>
      </c>
      <c r="D31" s="11">
        <v>2000</v>
      </c>
      <c r="E31" s="11">
        <v>60</v>
      </c>
      <c r="F31" s="11">
        <v>2000</v>
      </c>
      <c r="G31" s="11">
        <v>0</v>
      </c>
      <c r="H31" s="11">
        <v>2000</v>
      </c>
    </row>
    <row r="32" spans="1:8" x14ac:dyDescent="0.2">
      <c r="B32" s="11" t="s">
        <v>79</v>
      </c>
      <c r="C32" s="11" t="s">
        <v>80</v>
      </c>
      <c r="D32" s="11">
        <v>2000</v>
      </c>
      <c r="E32" s="11">
        <v>10</v>
      </c>
      <c r="F32" s="11">
        <v>2000</v>
      </c>
      <c r="G32" s="11">
        <v>0</v>
      </c>
      <c r="H32" s="11">
        <v>1000</v>
      </c>
    </row>
    <row r="33" spans="2:8" x14ac:dyDescent="0.2">
      <c r="B33" s="11" t="s">
        <v>82</v>
      </c>
      <c r="C33" s="11" t="s">
        <v>83</v>
      </c>
      <c r="D33" s="11">
        <v>2500</v>
      </c>
      <c r="E33" s="11">
        <v>-20</v>
      </c>
      <c r="F33" s="11">
        <v>2500</v>
      </c>
      <c r="G33" s="11">
        <v>1000</v>
      </c>
      <c r="H33" s="11">
        <v>0</v>
      </c>
    </row>
    <row r="34" spans="2:8" x14ac:dyDescent="0.2">
      <c r="B34" s="11" t="s">
        <v>85</v>
      </c>
      <c r="C34" s="11" t="s">
        <v>86</v>
      </c>
      <c r="D34" s="11">
        <v>3000</v>
      </c>
      <c r="E34" s="11">
        <v>0</v>
      </c>
      <c r="F34" s="11">
        <v>3000</v>
      </c>
      <c r="G34" s="11">
        <v>1000</v>
      </c>
      <c r="H34" s="11">
        <v>0</v>
      </c>
    </row>
    <row r="35" spans="2:8" x14ac:dyDescent="0.2">
      <c r="B35" s="11" t="s">
        <v>88</v>
      </c>
      <c r="C35" s="11" t="s">
        <v>89</v>
      </c>
      <c r="D35" s="11">
        <v>1000</v>
      </c>
      <c r="E35" s="11">
        <v>-30</v>
      </c>
      <c r="F35" s="11">
        <v>1000</v>
      </c>
      <c r="G35" s="11">
        <v>2000</v>
      </c>
      <c r="H35" s="11">
        <v>0</v>
      </c>
    </row>
    <row r="36" spans="2:8" ht="17" thickBot="1" x14ac:dyDescent="0.25">
      <c r="B36" s="9" t="s">
        <v>91</v>
      </c>
      <c r="C36" s="9" t="s">
        <v>92</v>
      </c>
      <c r="D36" s="9">
        <v>2000</v>
      </c>
      <c r="E36" s="9">
        <v>0</v>
      </c>
      <c r="F36" s="9">
        <v>2000</v>
      </c>
      <c r="G36" s="9">
        <v>1E+30</v>
      </c>
      <c r="H36" s="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35B1-76A9-8F43-BC9C-A72C01028D14}">
  <dimension ref="B3:G23"/>
  <sheetViews>
    <sheetView tabSelected="1" topLeftCell="A3" workbookViewId="0">
      <selection activeCell="I4" sqref="I4"/>
    </sheetView>
  </sheetViews>
  <sheetFormatPr baseColWidth="10" defaultRowHeight="16" x14ac:dyDescent="0.2"/>
  <cols>
    <col min="2" max="2" width="24.6640625" customWidth="1"/>
    <col min="3" max="3" width="20.1640625" customWidth="1"/>
    <col min="4" max="4" width="25" customWidth="1"/>
    <col min="5" max="5" width="19" customWidth="1"/>
    <col min="6" max="6" width="28.83203125" customWidth="1"/>
    <col min="7" max="7" width="37.1640625" customWidth="1"/>
  </cols>
  <sheetData>
    <row r="3" spans="2:7" ht="17" thickBot="1" x14ac:dyDescent="0.25"/>
    <row r="4" spans="2:7" ht="53" thickBot="1" x14ac:dyDescent="0.25">
      <c r="B4" s="1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</row>
    <row r="5" spans="2:7" ht="28" thickTop="1" thickBot="1" x14ac:dyDescent="0.25">
      <c r="B5" s="3" t="s">
        <v>5</v>
      </c>
      <c r="C5" s="3">
        <v>50</v>
      </c>
      <c r="D5" s="3">
        <v>40</v>
      </c>
      <c r="E5" s="3">
        <v>60</v>
      </c>
      <c r="F5" s="3">
        <v>30</v>
      </c>
      <c r="G5" s="3">
        <v>2500</v>
      </c>
    </row>
    <row r="6" spans="2:7" ht="27" thickBot="1" x14ac:dyDescent="0.25">
      <c r="B6" s="4" t="s">
        <v>6</v>
      </c>
      <c r="C6" s="4">
        <v>70</v>
      </c>
      <c r="D6" s="4">
        <v>80</v>
      </c>
      <c r="E6" s="4">
        <v>80</v>
      </c>
      <c r="F6" s="4">
        <v>10</v>
      </c>
      <c r="G6" s="4">
        <v>3000</v>
      </c>
    </row>
    <row r="7" spans="2:7" ht="27" thickBot="1" x14ac:dyDescent="0.25">
      <c r="B7" s="5" t="s">
        <v>7</v>
      </c>
      <c r="C7" s="5">
        <v>40</v>
      </c>
      <c r="D7" s="5">
        <v>40</v>
      </c>
      <c r="E7" s="5">
        <v>30</v>
      </c>
      <c r="F7" s="5">
        <v>60</v>
      </c>
      <c r="G7" s="5">
        <v>1000</v>
      </c>
    </row>
    <row r="8" spans="2:7" ht="27" thickBot="1" x14ac:dyDescent="0.25">
      <c r="B8" s="4" t="s">
        <v>8</v>
      </c>
      <c r="C8" s="4">
        <v>80</v>
      </c>
      <c r="D8" s="4">
        <v>70</v>
      </c>
      <c r="E8" s="4">
        <v>60</v>
      </c>
      <c r="F8" s="4">
        <v>80</v>
      </c>
      <c r="G8" s="4">
        <v>2000</v>
      </c>
    </row>
    <row r="9" spans="2:7" ht="53" thickBot="1" x14ac:dyDescent="0.25">
      <c r="B9" s="6" t="s">
        <v>9</v>
      </c>
      <c r="C9" s="5">
        <v>2500</v>
      </c>
      <c r="D9" s="5">
        <v>2000</v>
      </c>
      <c r="E9" s="5">
        <v>2000</v>
      </c>
      <c r="F9" s="5">
        <v>2000</v>
      </c>
      <c r="G9" s="7"/>
    </row>
    <row r="14" spans="2:7" ht="17" thickBot="1" x14ac:dyDescent="0.25"/>
    <row r="15" spans="2:7" ht="27" thickBot="1" x14ac:dyDescent="0.25">
      <c r="B15" s="1"/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</row>
    <row r="16" spans="2:7" ht="28" thickTop="1" thickBot="1" x14ac:dyDescent="0.25">
      <c r="B16" s="3" t="s">
        <v>5</v>
      </c>
      <c r="C16" s="3">
        <v>500</v>
      </c>
      <c r="D16" s="3">
        <v>2000</v>
      </c>
      <c r="E16" s="3">
        <v>0</v>
      </c>
      <c r="F16" s="3">
        <v>0</v>
      </c>
      <c r="G16" s="3">
        <f>SUM(C16:F16)</f>
        <v>2500</v>
      </c>
    </row>
    <row r="17" spans="2:7" ht="28" thickTop="1" thickBot="1" x14ac:dyDescent="0.25">
      <c r="B17" s="4" t="s">
        <v>6</v>
      </c>
      <c r="C17" s="4">
        <v>1000</v>
      </c>
      <c r="D17" s="4">
        <v>0</v>
      </c>
      <c r="E17" s="4">
        <v>0</v>
      </c>
      <c r="F17" s="4">
        <v>2000</v>
      </c>
      <c r="G17" s="3">
        <f t="shared" ref="G17:G19" si="0">SUM(C17:F17)</f>
        <v>3000</v>
      </c>
    </row>
    <row r="18" spans="2:7" ht="28" thickTop="1" thickBot="1" x14ac:dyDescent="0.25">
      <c r="B18" s="5" t="s">
        <v>7</v>
      </c>
      <c r="C18" s="5">
        <v>1000</v>
      </c>
      <c r="D18" s="5">
        <v>0</v>
      </c>
      <c r="E18" s="5">
        <v>0</v>
      </c>
      <c r="F18" s="5">
        <v>0</v>
      </c>
      <c r="G18" s="3">
        <f t="shared" si="0"/>
        <v>1000</v>
      </c>
    </row>
    <row r="19" spans="2:7" ht="28" thickTop="1" thickBot="1" x14ac:dyDescent="0.25">
      <c r="B19" s="4" t="s">
        <v>8</v>
      </c>
      <c r="C19" s="4">
        <v>0</v>
      </c>
      <c r="D19" s="4">
        <v>0</v>
      </c>
      <c r="E19" s="4">
        <v>2000</v>
      </c>
      <c r="F19" s="4">
        <v>0</v>
      </c>
      <c r="G19" s="3">
        <f t="shared" si="0"/>
        <v>2000</v>
      </c>
    </row>
    <row r="20" spans="2:7" ht="27" thickBot="1" x14ac:dyDescent="0.25">
      <c r="B20" s="6" t="s">
        <v>9</v>
      </c>
      <c r="C20" s="5">
        <f>SUM(C16:C19)</f>
        <v>2500</v>
      </c>
      <c r="D20" s="5">
        <f t="shared" ref="D20:F20" si="1">SUM(D16:D19)</f>
        <v>2000</v>
      </c>
      <c r="E20" s="5">
        <f t="shared" si="1"/>
        <v>2000</v>
      </c>
      <c r="F20" s="5">
        <f t="shared" si="1"/>
        <v>2000</v>
      </c>
      <c r="G20" s="7"/>
    </row>
    <row r="23" spans="2:7" x14ac:dyDescent="0.2">
      <c r="B23" t="s">
        <v>10</v>
      </c>
      <c r="C23">
        <f>SUMPRODUCT(C5:F8,C16:F19)</f>
        <v>355000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Rishabh</dc:creator>
  <cp:lastModifiedBy>Abhishek Rishabh</cp:lastModifiedBy>
  <dcterms:created xsi:type="dcterms:W3CDTF">2021-03-27T07:53:49Z</dcterms:created>
  <dcterms:modified xsi:type="dcterms:W3CDTF">2021-03-27T07:57:46Z</dcterms:modified>
</cp:coreProperties>
</file>