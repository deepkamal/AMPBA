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ks/AMPBA/Term2/Optimization/"/>
    </mc:Choice>
  </mc:AlternateContent>
  <xr:revisionPtr revIDLastSave="0" documentId="13_ncr:1_{A9DAA61B-358F-B346-9625-A2B199E41935}" xr6:coauthVersionLast="46" xr6:coauthVersionMax="46" xr10:uidLastSave="{00000000-0000-0000-0000-000000000000}"/>
  <bookViews>
    <workbookView xWindow="0" yWindow="500" windowWidth="40040" windowHeight="25100" activeTab="4" xr2:uid="{DC759DC9-828C-E040-94DE-0A941D92F444}"/>
  </bookViews>
  <sheets>
    <sheet name="Answer Report 1" sheetId="15" r:id="rId1"/>
    <sheet name="Sensitivity Report 1" sheetId="16" r:id="rId2"/>
    <sheet name="Limits Report 1" sheetId="17" r:id="rId3"/>
    <sheet name="Answer Report 2" sheetId="18" r:id="rId4"/>
    <sheet name="Sensitivity Report 2" sheetId="19" r:id="rId5"/>
    <sheet name="Limits Report 2" sheetId="20" r:id="rId6"/>
    <sheet name="6Oz10Oz glass problem" sheetId="1" r:id="rId7"/>
    <sheet name="Champagne" sheetId="21" r:id="rId8"/>
  </sheets>
  <definedNames>
    <definedName name="solver_adj" localSheetId="6" hidden="1">'6Oz10Oz glass problem'!$B$6:$C$6</definedName>
    <definedName name="solver_cvg" localSheetId="6" hidden="1">0.0001</definedName>
    <definedName name="solver_drv" localSheetId="6" hidden="1">1</definedName>
    <definedName name="solver_eng" localSheetId="6" hidden="1">2</definedName>
    <definedName name="solver_itr" localSheetId="6" hidden="1">2147483647</definedName>
    <definedName name="solver_lhs1" localSheetId="6" hidden="1">'6Oz10Oz glass problem'!$D$10</definedName>
    <definedName name="solver_lhs2" localSheetId="6" hidden="1">'6Oz10Oz glass problem'!$D$11</definedName>
    <definedName name="solver_lhs3" localSheetId="6" hidden="1">'6Oz10Oz glass problem'!$D$9</definedName>
    <definedName name="solver_lin" localSheetId="6" hidden="1">1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3</definedName>
    <definedName name="solver_opt" localSheetId="6" hidden="1">'6Oz10Oz glass problem'!$F$7</definedName>
    <definedName name="solver_pre" localSheetId="6" hidden="1">0.000001</definedName>
    <definedName name="solver_rbv" localSheetId="6" hidden="1">2</definedName>
    <definedName name="solver_rel1" localSheetId="6" hidden="1">1</definedName>
    <definedName name="solver_rel2" localSheetId="6" hidden="1">1</definedName>
    <definedName name="solver_rel3" localSheetId="6" hidden="1">1</definedName>
    <definedName name="solver_rhs1" localSheetId="6" hidden="1">'6Oz10Oz glass problem'!$F$10</definedName>
    <definedName name="solver_rhs2" localSheetId="6" hidden="1">'6Oz10Oz glass problem'!$F$11</definedName>
    <definedName name="solver_rhs3" localSheetId="6" hidden="1">'6Oz10Oz glass problem'!$F$9</definedName>
    <definedName name="solver_rlx" localSheetId="6" hidden="1">1</definedName>
    <definedName name="solver_rsd" localSheetId="6" hidden="1">0</definedName>
    <definedName name="solver_scl" localSheetId="6" hidden="1">2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1</definedName>
    <definedName name="solver_val" localSheetId="6" hidden="1">0</definedName>
    <definedName name="solver_ver" localSheetId="6" hidden="1">2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1" l="1"/>
  <c r="G10" i="21" s="1"/>
  <c r="D9" i="21"/>
  <c r="G9" i="21" s="1"/>
  <c r="D8" i="21"/>
  <c r="G8" i="21" s="1"/>
  <c r="F6" i="21"/>
  <c r="F7" i="1"/>
  <c r="D11" i="1"/>
  <c r="G11" i="1" s="1"/>
  <c r="D10" i="1"/>
  <c r="G10" i="1" s="1"/>
  <c r="D9" i="1"/>
  <c r="G9" i="1" s="1"/>
</calcChain>
</file>

<file path=xl/sharedStrings.xml><?xml version="1.0" encoding="utf-8"?>
<sst xmlns="http://schemas.openxmlformats.org/spreadsheetml/2006/main" count="254" uniqueCount="75">
  <si>
    <t>VARS</t>
  </si>
  <si>
    <t>Z</t>
  </si>
  <si>
    <t>PROFIT</t>
  </si>
  <si>
    <t>&lt;=</t>
  </si>
  <si>
    <t>SLACK</t>
  </si>
  <si>
    <t>Microsoft Excel 16.45 Sensitivity Report</t>
  </si>
  <si>
    <t>Worksheet: [LinearCalculate.xlsx]Sheet1</t>
  </si>
  <si>
    <t>Variable Cells</t>
  </si>
  <si>
    <t>Cell</t>
  </si>
  <si>
    <t>Name</t>
  </si>
  <si>
    <t>Final</t>
  </si>
  <si>
    <t>Value</t>
  </si>
  <si>
    <t>Reduced</t>
  </si>
  <si>
    <t>Constraints</t>
  </si>
  <si>
    <t>$B$6</t>
  </si>
  <si>
    <t>$C$6</t>
  </si>
  <si>
    <t>$D$10</t>
  </si>
  <si>
    <t>$D$11</t>
  </si>
  <si>
    <t>$D$9</t>
  </si>
  <si>
    <t>Microsoft Excel 16.45 Answer Report</t>
  </si>
  <si>
    <t>Result: Solver found a solution.  All constraints and optimality conditions are satisfied.</t>
  </si>
  <si>
    <t>Solver Engine</t>
  </si>
  <si>
    <t>Engine: Simplex LP</t>
  </si>
  <si>
    <t>Iterations: 3 Subproblems: 0</t>
  </si>
  <si>
    <t>Solver Options</t>
  </si>
  <si>
    <t>Max Time Unlimited, Iterations Unlimited, Precision 0.000001</t>
  </si>
  <si>
    <t>Max Subproblems Unlimited, Max Integer Sols Unlimited, Integer Tolerance 1%, Solve Without Integer Constraints, Assume NonNegative</t>
  </si>
  <si>
    <t>Objective Cell (Max)</t>
  </si>
  <si>
    <t>Original Value</t>
  </si>
  <si>
    <t>Final Value</t>
  </si>
  <si>
    <t>Integer</t>
  </si>
  <si>
    <t>Cell Value</t>
  </si>
  <si>
    <t>Formula</t>
  </si>
  <si>
    <t>Status</t>
  </si>
  <si>
    <t>Slack</t>
  </si>
  <si>
    <t>$F$7</t>
  </si>
  <si>
    <t>PROFIT Z</t>
  </si>
  <si>
    <t>Contin</t>
  </si>
  <si>
    <t>$D$10&lt;=$F$10</t>
  </si>
  <si>
    <t>Binding</t>
  </si>
  <si>
    <t>$D$11&lt;=$F$11</t>
  </si>
  <si>
    <t>Not Binding</t>
  </si>
  <si>
    <t>$D$9&lt;=$F$9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</si>
  <si>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</si>
  <si>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</si>
  <si>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</si>
  <si>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</si>
  <si>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</si>
  <si>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</si>
  <si>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</si>
  <si>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</si>
  <si>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</si>
  <si>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</si>
  <si>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16.45 Limits Report</t>
  </si>
  <si>
    <t>Variable</t>
  </si>
  <si>
    <t>Lower</t>
  </si>
  <si>
    <t>Limit</t>
  </si>
  <si>
    <t>Result</t>
  </si>
  <si>
    <t>Upper</t>
  </si>
  <si>
    <t>Man Hours</t>
  </si>
  <si>
    <t>Storage</t>
  </si>
  <si>
    <t>Production</t>
  </si>
  <si>
    <t>6 Ounce Glass</t>
  </si>
  <si>
    <t xml:space="preserve">10 Ounce Glass </t>
  </si>
  <si>
    <t>Report Created: 19/03/21 11:39:39 AM</t>
  </si>
  <si>
    <t>Solution Time: 2731.656 Seconds.</t>
  </si>
  <si>
    <t>Storage Production</t>
  </si>
  <si>
    <t>Demand for X1 Production</t>
  </si>
  <si>
    <t>Man Hours Production</t>
  </si>
  <si>
    <t>Demand for 6 Ounce glass</t>
  </si>
  <si>
    <t>6oz Glass</t>
  </si>
  <si>
    <t xml:space="preserve">10oz Glass </t>
  </si>
  <si>
    <t>Report Created: 19/03/21 11:55:24 AM</t>
  </si>
  <si>
    <t>Solution Time: 2723.671 Seconds.</t>
  </si>
  <si>
    <t>Demand for 6 Ounce glass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</si>
</sst>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1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0" fillId="0" borderId="4" xfId="0" applyNumberFormat="1" applyFill="1" applyBorder="1" applyAlignment="1"/>
    <xf numFmtId="0" fontId="0" fillId="0" borderId="3" xfId="0" applyNumberFormat="1" applyFill="1" applyBorder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6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CE7BE5-7A33-BF4E-AB9F-22A9CBEDD223}" name="Table1" displayName="Table1" ref="A5:G11" totalsRowShown="0" headerRowDxfId="4">
  <tableColumns count="7">
    <tableColumn id="1" xr3:uid="{4389E0ED-7A29-1447-8AA1-93888D5F0882}" name="VARS" dataDxfId="5"/>
    <tableColumn id="2" xr3:uid="{86267CA6-2213-D349-B48A-6E06D23A1999}" name="6oz Glass"/>
    <tableColumn id="3" xr3:uid="{10061BF6-15C6-AF4F-A2B5-5B3E2DCDA160}" name="10oz Glass "/>
    <tableColumn id="4" xr3:uid="{57477058-D409-F642-992F-BF5C0A486D0D}" name="Production"/>
    <tableColumn id="5" xr3:uid="{ED8885E3-7BBD-5D4E-A7FC-0CB4D141D6D3}" name="&lt;="/>
    <tableColumn id="6" xr3:uid="{8F00F71A-69DE-2349-8C19-89424135B448}" name="Z"/>
    <tableColumn id="7" xr3:uid="{8F895BB8-C77C-6C45-AC3F-561D653B5138}" name="SLACK" dataDxfId="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4E5EBC-F894-3D4C-BB34-3D67E1AE0E46}" name="Table13" displayName="Table13" ref="A4:G10" totalsRowShown="0" headerRowDxfId="2">
  <tableColumns count="7">
    <tableColumn id="1" xr3:uid="{EAF972A1-9199-884C-A444-4DFF333EC473}" name="VARS" dataDxfId="1"/>
    <tableColumn id="2" xr3:uid="{D6C2C062-3B9D-5245-AEBC-D6BF7F263960}" name="6oz Glass"/>
    <tableColumn id="3" xr3:uid="{370D4C40-1C6D-D94D-B5F0-D25D2345FBEF}" name="10oz Glass "/>
    <tableColumn id="4" xr3:uid="{77E71EA5-0E12-5443-BA85-81D122D7E524}" name="Production"/>
    <tableColumn id="5" xr3:uid="{B61F5B71-E904-114E-8A21-4E41C0640296}" name="&lt;="/>
    <tableColumn id="6" xr3:uid="{95A49113-B1EE-E14B-A77E-56F779785881}" name="Z"/>
    <tableColumn id="7" xr3:uid="{7E9340D5-1ABE-FC4D-8C17-A786A8EE6B53}" name="SLAC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18BC-6492-CF4F-81DC-B295FDA76E85}">
  <dimension ref="A1:G29"/>
  <sheetViews>
    <sheetView showGridLines="0" workbookViewId="0"/>
  </sheetViews>
  <sheetFormatPr baseColWidth="10" defaultRowHeight="16" x14ac:dyDescent="0.2"/>
  <cols>
    <col min="1" max="1" width="2.33203125" customWidth="1"/>
    <col min="2" max="2" width="6.33203125" bestFit="1" customWidth="1"/>
    <col min="3" max="3" width="22.83203125" bestFit="1" customWidth="1"/>
    <col min="4" max="4" width="12.83203125" bestFit="1" customWidth="1"/>
    <col min="5" max="5" width="13.33203125" bestFit="1" customWidth="1"/>
    <col min="6" max="6" width="7.33203125" bestFit="1" customWidth="1"/>
    <col min="7" max="7" width="5.5" bestFit="1" customWidth="1"/>
  </cols>
  <sheetData>
    <row r="1" spans="1:5" x14ac:dyDescent="0.2">
      <c r="A1" s="3" t="s">
        <v>19</v>
      </c>
    </row>
    <row r="2" spans="1:5" x14ac:dyDescent="0.2">
      <c r="A2" s="3" t="s">
        <v>6</v>
      </c>
    </row>
    <row r="3" spans="1:5" x14ac:dyDescent="0.2">
      <c r="A3" s="3" t="s">
        <v>64</v>
      </c>
    </row>
    <row r="4" spans="1:5" x14ac:dyDescent="0.2">
      <c r="A4" s="3" t="s">
        <v>20</v>
      </c>
    </row>
    <row r="5" spans="1:5" x14ac:dyDescent="0.2">
      <c r="A5" s="3" t="s">
        <v>21</v>
      </c>
    </row>
    <row r="6" spans="1:5" x14ac:dyDescent="0.2">
      <c r="A6" s="3"/>
      <c r="B6" t="s">
        <v>22</v>
      </c>
    </row>
    <row r="7" spans="1:5" x14ac:dyDescent="0.2">
      <c r="A7" s="3"/>
      <c r="B7" t="s">
        <v>65</v>
      </c>
    </row>
    <row r="8" spans="1:5" x14ac:dyDescent="0.2">
      <c r="A8" s="3"/>
      <c r="B8" t="s">
        <v>23</v>
      </c>
    </row>
    <row r="9" spans="1:5" x14ac:dyDescent="0.2">
      <c r="A9" s="3" t="s">
        <v>24</v>
      </c>
    </row>
    <row r="10" spans="1:5" x14ac:dyDescent="0.2">
      <c r="B10" t="s">
        <v>25</v>
      </c>
    </row>
    <row r="11" spans="1:5" x14ac:dyDescent="0.2">
      <c r="B11" t="s">
        <v>26</v>
      </c>
    </row>
    <row r="14" spans="1:5" ht="17" thickBot="1" x14ac:dyDescent="0.25">
      <c r="A14" t="s">
        <v>27</v>
      </c>
    </row>
    <row r="15" spans="1:5" ht="17" thickBot="1" x14ac:dyDescent="0.25">
      <c r="B15" s="8" t="s">
        <v>8</v>
      </c>
      <c r="C15" s="8" t="s">
        <v>9</v>
      </c>
      <c r="D15" s="8" t="s">
        <v>28</v>
      </c>
      <c r="E15" s="8" t="s">
        <v>29</v>
      </c>
    </row>
    <row r="16" spans="1:5" ht="17" thickBot="1" x14ac:dyDescent="0.25">
      <c r="B16" s="5" t="s">
        <v>35</v>
      </c>
      <c r="C16" s="5" t="s">
        <v>36</v>
      </c>
      <c r="D16" s="9">
        <v>5575</v>
      </c>
      <c r="E16" s="9">
        <v>5575</v>
      </c>
    </row>
    <row r="19" spans="1:7" ht="17" thickBot="1" x14ac:dyDescent="0.25">
      <c r="A19" t="s">
        <v>7</v>
      </c>
    </row>
    <row r="20" spans="1:7" ht="17" thickBot="1" x14ac:dyDescent="0.25">
      <c r="B20" s="8" t="s">
        <v>8</v>
      </c>
      <c r="C20" s="8" t="s">
        <v>9</v>
      </c>
      <c r="D20" s="8" t="s">
        <v>28</v>
      </c>
      <c r="E20" s="8" t="s">
        <v>29</v>
      </c>
      <c r="F20" s="8" t="s">
        <v>30</v>
      </c>
    </row>
    <row r="21" spans="1:7" x14ac:dyDescent="0.2">
      <c r="B21" s="4" t="s">
        <v>14</v>
      </c>
      <c r="C21" s="4" t="s">
        <v>62</v>
      </c>
      <c r="D21" s="10">
        <v>8</v>
      </c>
      <c r="E21" s="10">
        <v>8</v>
      </c>
      <c r="F21" s="4" t="s">
        <v>37</v>
      </c>
    </row>
    <row r="22" spans="1:7" ht="17" thickBot="1" x14ac:dyDescent="0.25">
      <c r="B22" s="5" t="s">
        <v>15</v>
      </c>
      <c r="C22" s="5" t="s">
        <v>63</v>
      </c>
      <c r="D22" s="9">
        <v>3.5</v>
      </c>
      <c r="E22" s="9">
        <v>3.5</v>
      </c>
      <c r="F22" s="5" t="s">
        <v>37</v>
      </c>
    </row>
    <row r="25" spans="1:7" ht="17" thickBot="1" x14ac:dyDescent="0.25">
      <c r="A25" t="s">
        <v>13</v>
      </c>
    </row>
    <row r="26" spans="1:7" ht="17" thickBot="1" x14ac:dyDescent="0.25">
      <c r="B26" s="8" t="s">
        <v>8</v>
      </c>
      <c r="C26" s="8" t="s">
        <v>9</v>
      </c>
      <c r="D26" s="8" t="s">
        <v>31</v>
      </c>
      <c r="E26" s="8" t="s">
        <v>32</v>
      </c>
      <c r="F26" s="8" t="s">
        <v>33</v>
      </c>
      <c r="G26" s="8" t="s">
        <v>34</v>
      </c>
    </row>
    <row r="27" spans="1:7" x14ac:dyDescent="0.2">
      <c r="B27" s="4" t="s">
        <v>16</v>
      </c>
      <c r="C27" s="4" t="s">
        <v>66</v>
      </c>
      <c r="D27" s="10">
        <v>150</v>
      </c>
      <c r="E27" s="4" t="s">
        <v>38</v>
      </c>
      <c r="F27" s="4" t="s">
        <v>39</v>
      </c>
      <c r="G27" s="4">
        <v>0</v>
      </c>
    </row>
    <row r="28" spans="1:7" x14ac:dyDescent="0.2">
      <c r="B28" s="4" t="s">
        <v>17</v>
      </c>
      <c r="C28" s="4" t="s">
        <v>67</v>
      </c>
      <c r="D28" s="10">
        <v>8</v>
      </c>
      <c r="E28" s="4" t="s">
        <v>40</v>
      </c>
      <c r="F28" s="4" t="s">
        <v>39</v>
      </c>
      <c r="G28" s="4">
        <v>0</v>
      </c>
    </row>
    <row r="29" spans="1:7" ht="17" thickBot="1" x14ac:dyDescent="0.25">
      <c r="B29" s="5" t="s">
        <v>18</v>
      </c>
      <c r="C29" s="5" t="s">
        <v>68</v>
      </c>
      <c r="D29" s="9">
        <v>65.5</v>
      </c>
      <c r="E29" s="5" t="s">
        <v>42</v>
      </c>
      <c r="F29" s="5" t="s">
        <v>39</v>
      </c>
      <c r="G29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A9A3-DA1F-CB46-9E0C-7961FD885DB5}">
  <dimension ref="A1:H17"/>
  <sheetViews>
    <sheetView showGridLines="0" zoomScale="296" workbookViewId="0">
      <selection sqref="A1:A3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22.83203125" bestFit="1" customWidth="1"/>
    <col min="4" max="4" width="5.83203125" bestFit="1" customWidth="1"/>
    <col min="5" max="5" width="12.1640625" bestFit="1" customWidth="1"/>
    <col min="6" max="6" width="10" bestFit="1" customWidth="1"/>
    <col min="7" max="7" width="9.33203125" bestFit="1" customWidth="1"/>
    <col min="8" max="8" width="12.1640625" bestFit="1" customWidth="1"/>
  </cols>
  <sheetData>
    <row r="1" spans="1:8" x14ac:dyDescent="0.2">
      <c r="A1" s="3" t="s">
        <v>5</v>
      </c>
    </row>
    <row r="2" spans="1:8" x14ac:dyDescent="0.2">
      <c r="A2" s="3" t="s">
        <v>6</v>
      </c>
    </row>
    <row r="3" spans="1:8" x14ac:dyDescent="0.2">
      <c r="A3" s="3" t="s">
        <v>64</v>
      </c>
    </row>
    <row r="6" spans="1:8" ht="17" thickBot="1" x14ac:dyDescent="0.25">
      <c r="A6" t="s">
        <v>7</v>
      </c>
    </row>
    <row r="7" spans="1:8" x14ac:dyDescent="0.2">
      <c r="B7" s="6"/>
      <c r="C7" s="6"/>
      <c r="D7" s="6" t="s">
        <v>10</v>
      </c>
      <c r="E7" s="6" t="s">
        <v>12</v>
      </c>
      <c r="F7" s="6" t="s">
        <v>44</v>
      </c>
      <c r="G7" s="6" t="s">
        <v>46</v>
      </c>
      <c r="H7" s="6" t="s">
        <v>46</v>
      </c>
    </row>
    <row r="8" spans="1:8" ht="17" thickBot="1" x14ac:dyDescent="0.25">
      <c r="B8" s="7" t="s">
        <v>8</v>
      </c>
      <c r="C8" s="7" t="s">
        <v>9</v>
      </c>
      <c r="D8" s="7" t="s">
        <v>11</v>
      </c>
      <c r="E8" s="7" t="s">
        <v>43</v>
      </c>
      <c r="F8" s="7" t="s">
        <v>45</v>
      </c>
      <c r="G8" s="7" t="s">
        <v>47</v>
      </c>
      <c r="H8" s="7" t="s">
        <v>48</v>
      </c>
    </row>
    <row r="9" spans="1:8" x14ac:dyDescent="0.2">
      <c r="B9" s="4" t="s">
        <v>14</v>
      </c>
      <c r="C9" s="4" t="s">
        <v>62</v>
      </c>
      <c r="D9" s="4">
        <v>8</v>
      </c>
      <c r="E9" s="4">
        <v>0</v>
      </c>
      <c r="F9" s="4">
        <v>500</v>
      </c>
      <c r="G9" s="4">
        <v>40.000000000000114</v>
      </c>
      <c r="H9" s="4">
        <v>274.99999999999994</v>
      </c>
    </row>
    <row r="10" spans="1:8" ht="17" thickBot="1" x14ac:dyDescent="0.25">
      <c r="B10" s="5" t="s">
        <v>15</v>
      </c>
      <c r="C10" s="5" t="s">
        <v>63</v>
      </c>
      <c r="D10" s="5">
        <v>3.5</v>
      </c>
      <c r="E10" s="5">
        <v>0</v>
      </c>
      <c r="F10" s="5">
        <v>450</v>
      </c>
      <c r="G10" s="5">
        <v>550</v>
      </c>
      <c r="H10" s="5">
        <v>33.333333333333428</v>
      </c>
    </row>
    <row r="12" spans="1:8" ht="17" thickBot="1" x14ac:dyDescent="0.25">
      <c r="A12" t="s">
        <v>13</v>
      </c>
    </row>
    <row r="13" spans="1:8" x14ac:dyDescent="0.2">
      <c r="B13" s="6"/>
      <c r="C13" s="6"/>
      <c r="D13" s="6" t="s">
        <v>10</v>
      </c>
      <c r="E13" s="6" t="s">
        <v>49</v>
      </c>
      <c r="F13" s="6" t="s">
        <v>51</v>
      </c>
      <c r="G13" s="6" t="s">
        <v>46</v>
      </c>
      <c r="H13" s="6" t="s">
        <v>46</v>
      </c>
    </row>
    <row r="14" spans="1:8" ht="17" thickBot="1" x14ac:dyDescent="0.25">
      <c r="B14" s="7" t="s">
        <v>8</v>
      </c>
      <c r="C14" s="7" t="s">
        <v>9</v>
      </c>
      <c r="D14" s="7" t="s">
        <v>11</v>
      </c>
      <c r="E14" s="7" t="s">
        <v>50</v>
      </c>
      <c r="F14" s="7" t="s">
        <v>52</v>
      </c>
      <c r="G14" s="7" t="s">
        <v>47</v>
      </c>
      <c r="H14" s="7" t="s">
        <v>48</v>
      </c>
    </row>
    <row r="15" spans="1:8" x14ac:dyDescent="0.2">
      <c r="B15" s="4" t="s">
        <v>16</v>
      </c>
      <c r="C15" s="4" t="s">
        <v>66</v>
      </c>
      <c r="D15" s="4">
        <v>150</v>
      </c>
      <c r="E15" s="4">
        <v>2.8571428571428648</v>
      </c>
      <c r="F15" s="4">
        <v>150</v>
      </c>
      <c r="G15" s="4">
        <v>112.00000000000003</v>
      </c>
      <c r="H15" s="4">
        <v>0</v>
      </c>
    </row>
    <row r="16" spans="1:8" x14ac:dyDescent="0.2">
      <c r="B16" s="4" t="s">
        <v>17</v>
      </c>
      <c r="C16" s="4" t="s">
        <v>67</v>
      </c>
      <c r="D16" s="4">
        <v>8</v>
      </c>
      <c r="E16" s="4">
        <v>0</v>
      </c>
      <c r="F16" s="4">
        <v>8</v>
      </c>
      <c r="G16" s="4">
        <v>1E+30</v>
      </c>
      <c r="H16" s="4">
        <v>0</v>
      </c>
    </row>
    <row r="17" spans="2:8" ht="17" thickBot="1" x14ac:dyDescent="0.25">
      <c r="B17" s="5" t="s">
        <v>18</v>
      </c>
      <c r="C17" s="5" t="s">
        <v>68</v>
      </c>
      <c r="D17" s="5">
        <v>65.5</v>
      </c>
      <c r="E17" s="5">
        <v>78.571428571428541</v>
      </c>
      <c r="F17" s="5">
        <v>65.5</v>
      </c>
      <c r="G17" s="5">
        <v>0</v>
      </c>
      <c r="H17" s="5">
        <v>28.000000000000007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1541-4ED3-BC46-A92D-9FD7030C0FFB}">
  <dimension ref="A1:J14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5.33203125" bestFit="1" customWidth="1"/>
    <col min="3" max="3" width="14.33203125" bestFit="1" customWidth="1"/>
    <col min="4" max="4" width="5.83203125" bestFit="1" customWidth="1"/>
    <col min="5" max="5" width="2.33203125" customWidth="1"/>
    <col min="6" max="6" width="6.1640625" bestFit="1" customWidth="1"/>
    <col min="7" max="7" width="9" bestFit="1" customWidth="1"/>
    <col min="8" max="8" width="2.33203125" customWidth="1"/>
    <col min="9" max="9" width="6.1640625" bestFit="1" customWidth="1"/>
    <col min="10" max="10" width="9" bestFit="1" customWidth="1"/>
  </cols>
  <sheetData>
    <row r="1" spans="1:10" x14ac:dyDescent="0.2">
      <c r="A1" s="3" t="s">
        <v>53</v>
      </c>
    </row>
    <row r="2" spans="1:10" x14ac:dyDescent="0.2">
      <c r="A2" s="3" t="s">
        <v>6</v>
      </c>
    </row>
    <row r="3" spans="1:10" x14ac:dyDescent="0.2">
      <c r="A3" s="3" t="s">
        <v>64</v>
      </c>
    </row>
    <row r="5" spans="1:10" ht="17" thickBot="1" x14ac:dyDescent="0.25"/>
    <row r="6" spans="1:10" x14ac:dyDescent="0.2">
      <c r="B6" s="6"/>
      <c r="C6" s="6" t="s">
        <v>44</v>
      </c>
      <c r="D6" s="6"/>
    </row>
    <row r="7" spans="1:10" ht="17" thickBot="1" x14ac:dyDescent="0.25">
      <c r="B7" s="7" t="s">
        <v>8</v>
      </c>
      <c r="C7" s="7" t="s">
        <v>9</v>
      </c>
      <c r="D7" s="7" t="s">
        <v>11</v>
      </c>
    </row>
    <row r="8" spans="1:10" ht="17" thickBot="1" x14ac:dyDescent="0.25">
      <c r="B8" s="5" t="s">
        <v>35</v>
      </c>
      <c r="C8" s="5" t="s">
        <v>36</v>
      </c>
      <c r="D8" s="9">
        <v>5575</v>
      </c>
    </row>
    <row r="10" spans="1:10" ht="17" thickBot="1" x14ac:dyDescent="0.25"/>
    <row r="11" spans="1:10" x14ac:dyDescent="0.2">
      <c r="B11" s="6"/>
      <c r="C11" s="6" t="s">
        <v>54</v>
      </c>
      <c r="D11" s="6"/>
      <c r="F11" s="6" t="s">
        <v>55</v>
      </c>
      <c r="G11" s="6" t="s">
        <v>44</v>
      </c>
      <c r="I11" s="6" t="s">
        <v>58</v>
      </c>
      <c r="J11" s="6" t="s">
        <v>44</v>
      </c>
    </row>
    <row r="12" spans="1:10" ht="17" thickBot="1" x14ac:dyDescent="0.25">
      <c r="B12" s="7" t="s">
        <v>8</v>
      </c>
      <c r="C12" s="7" t="s">
        <v>9</v>
      </c>
      <c r="D12" s="7" t="s">
        <v>11</v>
      </c>
      <c r="F12" s="7" t="s">
        <v>56</v>
      </c>
      <c r="G12" s="7" t="s">
        <v>57</v>
      </c>
      <c r="I12" s="7" t="s">
        <v>56</v>
      </c>
      <c r="J12" s="7" t="s">
        <v>57</v>
      </c>
    </row>
    <row r="13" spans="1:10" x14ac:dyDescent="0.2">
      <c r="B13" s="4" t="s">
        <v>14</v>
      </c>
      <c r="C13" s="4" t="s">
        <v>62</v>
      </c>
      <c r="D13" s="10">
        <v>8</v>
      </c>
      <c r="F13" s="10">
        <v>0</v>
      </c>
      <c r="G13" s="10">
        <v>85</v>
      </c>
      <c r="I13" s="10">
        <v>250</v>
      </c>
      <c r="J13" s="10">
        <v>18835</v>
      </c>
    </row>
    <row r="14" spans="1:10" ht="17" thickBot="1" x14ac:dyDescent="0.25">
      <c r="B14" s="5" t="s">
        <v>15</v>
      </c>
      <c r="C14" s="5" t="s">
        <v>63</v>
      </c>
      <c r="D14" s="9">
        <v>3.5</v>
      </c>
      <c r="F14" s="9">
        <v>0</v>
      </c>
      <c r="G14" s="9">
        <v>110</v>
      </c>
      <c r="I14" s="9">
        <v>398.5</v>
      </c>
      <c r="J14" s="9">
        <v>20035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62BF-7CC5-0245-AFA7-386B8EA2944E}">
  <dimension ref="A1:G29"/>
  <sheetViews>
    <sheetView showGridLines="0" workbookViewId="0"/>
  </sheetViews>
  <sheetFormatPr baseColWidth="10" defaultRowHeight="16" x14ac:dyDescent="0.2"/>
  <cols>
    <col min="1" max="1" width="2.33203125" customWidth="1"/>
    <col min="2" max="2" width="6.33203125" bestFit="1" customWidth="1"/>
    <col min="3" max="3" width="32.5" bestFit="1" customWidth="1"/>
    <col min="4" max="4" width="12.83203125" bestFit="1" customWidth="1"/>
    <col min="5" max="5" width="13.33203125" bestFit="1" customWidth="1"/>
    <col min="6" max="6" width="10.83203125" bestFit="1" customWidth="1"/>
    <col min="7" max="7" width="12.1640625" bestFit="1" customWidth="1"/>
  </cols>
  <sheetData>
    <row r="1" spans="1:5" x14ac:dyDescent="0.2">
      <c r="A1" s="3" t="s">
        <v>19</v>
      </c>
    </row>
    <row r="2" spans="1:5" x14ac:dyDescent="0.2">
      <c r="A2" s="3" t="s">
        <v>6</v>
      </c>
    </row>
    <row r="3" spans="1:5" x14ac:dyDescent="0.2">
      <c r="A3" s="3" t="s">
        <v>72</v>
      </c>
    </row>
    <row r="4" spans="1:5" x14ac:dyDescent="0.2">
      <c r="A4" s="3" t="s">
        <v>20</v>
      </c>
    </row>
    <row r="5" spans="1:5" x14ac:dyDescent="0.2">
      <c r="A5" s="3" t="s">
        <v>21</v>
      </c>
    </row>
    <row r="6" spans="1:5" x14ac:dyDescent="0.2">
      <c r="A6" s="3"/>
      <c r="B6" t="s">
        <v>22</v>
      </c>
    </row>
    <row r="7" spans="1:5" x14ac:dyDescent="0.2">
      <c r="A7" s="3"/>
      <c r="B7" t="s">
        <v>73</v>
      </c>
    </row>
    <row r="8" spans="1:5" x14ac:dyDescent="0.2">
      <c r="A8" s="3"/>
      <c r="B8" t="s">
        <v>23</v>
      </c>
    </row>
    <row r="9" spans="1:5" x14ac:dyDescent="0.2">
      <c r="A9" s="3" t="s">
        <v>24</v>
      </c>
    </row>
    <row r="10" spans="1:5" x14ac:dyDescent="0.2">
      <c r="B10" t="s">
        <v>25</v>
      </c>
    </row>
    <row r="11" spans="1:5" x14ac:dyDescent="0.2">
      <c r="B11" t="s">
        <v>26</v>
      </c>
    </row>
    <row r="14" spans="1:5" ht="17" thickBot="1" x14ac:dyDescent="0.25">
      <c r="A14" t="s">
        <v>27</v>
      </c>
    </row>
    <row r="15" spans="1:5" ht="17" thickBot="1" x14ac:dyDescent="0.25">
      <c r="B15" s="8" t="s">
        <v>8</v>
      </c>
      <c r="C15" s="8" t="s">
        <v>9</v>
      </c>
      <c r="D15" s="8" t="s">
        <v>28</v>
      </c>
      <c r="E15" s="8" t="s">
        <v>29</v>
      </c>
    </row>
    <row r="16" spans="1:5" ht="17" thickBot="1" x14ac:dyDescent="0.25">
      <c r="B16" s="5" t="s">
        <v>35</v>
      </c>
      <c r="C16" s="5" t="s">
        <v>36</v>
      </c>
      <c r="D16" s="9">
        <v>5575</v>
      </c>
      <c r="E16" s="9">
        <v>5142.8571428571431</v>
      </c>
    </row>
    <row r="19" spans="1:7" ht="17" thickBot="1" x14ac:dyDescent="0.25">
      <c r="A19" t="s">
        <v>7</v>
      </c>
    </row>
    <row r="20" spans="1:7" ht="17" thickBot="1" x14ac:dyDescent="0.25">
      <c r="B20" s="8" t="s">
        <v>8</v>
      </c>
      <c r="C20" s="8" t="s">
        <v>9</v>
      </c>
      <c r="D20" s="8" t="s">
        <v>28</v>
      </c>
      <c r="E20" s="8" t="s">
        <v>29</v>
      </c>
      <c r="F20" s="8" t="s">
        <v>30</v>
      </c>
    </row>
    <row r="21" spans="1:7" x14ac:dyDescent="0.2">
      <c r="B21" s="4" t="s">
        <v>14</v>
      </c>
      <c r="C21" s="4" t="s">
        <v>70</v>
      </c>
      <c r="D21" s="10">
        <v>8</v>
      </c>
      <c r="E21" s="10">
        <v>6.4285714285714297</v>
      </c>
      <c r="F21" s="4" t="s">
        <v>37</v>
      </c>
    </row>
    <row r="22" spans="1:7" ht="17" thickBot="1" x14ac:dyDescent="0.25">
      <c r="B22" s="5" t="s">
        <v>15</v>
      </c>
      <c r="C22" s="5" t="s">
        <v>71</v>
      </c>
      <c r="D22" s="9">
        <v>3.5</v>
      </c>
      <c r="E22" s="9">
        <v>4.2857142857142847</v>
      </c>
      <c r="F22" s="5" t="s">
        <v>37</v>
      </c>
    </row>
    <row r="25" spans="1:7" ht="17" thickBot="1" x14ac:dyDescent="0.25">
      <c r="A25" t="s">
        <v>13</v>
      </c>
    </row>
    <row r="26" spans="1:7" ht="17" thickBot="1" x14ac:dyDescent="0.25">
      <c r="B26" s="8" t="s">
        <v>8</v>
      </c>
      <c r="C26" s="8" t="s">
        <v>9</v>
      </c>
      <c r="D26" s="8" t="s">
        <v>31</v>
      </c>
      <c r="E26" s="8" t="s">
        <v>32</v>
      </c>
      <c r="F26" s="8" t="s">
        <v>33</v>
      </c>
      <c r="G26" s="8" t="s">
        <v>34</v>
      </c>
    </row>
    <row r="27" spans="1:7" x14ac:dyDescent="0.2">
      <c r="B27" s="4" t="s">
        <v>16</v>
      </c>
      <c r="C27" s="4" t="s">
        <v>66</v>
      </c>
      <c r="D27" s="10">
        <v>150</v>
      </c>
      <c r="E27" s="4" t="s">
        <v>38</v>
      </c>
      <c r="F27" s="4" t="s">
        <v>39</v>
      </c>
      <c r="G27" s="4">
        <v>0</v>
      </c>
    </row>
    <row r="28" spans="1:7" x14ac:dyDescent="0.2">
      <c r="B28" s="4" t="s">
        <v>17</v>
      </c>
      <c r="C28" s="4" t="s">
        <v>74</v>
      </c>
      <c r="D28" s="10">
        <v>6.4285714285714297</v>
      </c>
      <c r="E28" s="4" t="s">
        <v>40</v>
      </c>
      <c r="F28" s="4" t="s">
        <v>41</v>
      </c>
      <c r="G28" s="4">
        <v>1.5714285714285703</v>
      </c>
    </row>
    <row r="29" spans="1:7" ht="17" thickBot="1" x14ac:dyDescent="0.25">
      <c r="B29" s="5" t="s">
        <v>18</v>
      </c>
      <c r="C29" s="5" t="s">
        <v>68</v>
      </c>
      <c r="D29" s="9">
        <v>60</v>
      </c>
      <c r="E29" s="5" t="s">
        <v>42</v>
      </c>
      <c r="F29" s="5" t="s">
        <v>39</v>
      </c>
      <c r="G29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5F04-F290-184C-ACA2-6938862A95AC}">
  <dimension ref="A1:H17"/>
  <sheetViews>
    <sheetView showGridLines="0" tabSelected="1" topLeftCell="A4" zoomScale="318" workbookViewId="0">
      <selection activeCell="E15" sqref="E15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32.5" bestFit="1" customWidth="1"/>
    <col min="4" max="5" width="12.1640625" bestFit="1" customWidth="1"/>
    <col min="6" max="6" width="10" bestFit="1" customWidth="1"/>
    <col min="7" max="7" width="9.33203125" bestFit="1" customWidth="1"/>
    <col min="8" max="8" width="12.1640625" bestFit="1" customWidth="1"/>
  </cols>
  <sheetData>
    <row r="1" spans="1:8" x14ac:dyDescent="0.2">
      <c r="A1" s="3" t="s">
        <v>5</v>
      </c>
    </row>
    <row r="2" spans="1:8" x14ac:dyDescent="0.2">
      <c r="A2" s="3" t="s">
        <v>6</v>
      </c>
    </row>
    <row r="3" spans="1:8" x14ac:dyDescent="0.2">
      <c r="A3" s="3" t="s">
        <v>72</v>
      </c>
    </row>
    <row r="6" spans="1:8" ht="17" thickBot="1" x14ac:dyDescent="0.25">
      <c r="A6" t="s">
        <v>7</v>
      </c>
    </row>
    <row r="7" spans="1:8" x14ac:dyDescent="0.2">
      <c r="B7" s="6"/>
      <c r="C7" s="6"/>
      <c r="D7" s="6" t="s">
        <v>10</v>
      </c>
      <c r="E7" s="6" t="s">
        <v>12</v>
      </c>
      <c r="F7" s="6" t="s">
        <v>44</v>
      </c>
      <c r="G7" s="6" t="s">
        <v>46</v>
      </c>
      <c r="H7" s="6" t="s">
        <v>46</v>
      </c>
    </row>
    <row r="8" spans="1:8" ht="17" thickBot="1" x14ac:dyDescent="0.25">
      <c r="B8" s="7" t="s">
        <v>8</v>
      </c>
      <c r="C8" s="7" t="s">
        <v>9</v>
      </c>
      <c r="D8" s="7" t="s">
        <v>11</v>
      </c>
      <c r="E8" s="7" t="s">
        <v>43</v>
      </c>
      <c r="F8" s="7" t="s">
        <v>45</v>
      </c>
      <c r="G8" s="7" t="s">
        <v>47</v>
      </c>
      <c r="H8" s="7" t="s">
        <v>48</v>
      </c>
    </row>
    <row r="9" spans="1:8" x14ac:dyDescent="0.2">
      <c r="B9" s="4" t="s">
        <v>14</v>
      </c>
      <c r="C9" s="4" t="s">
        <v>70</v>
      </c>
      <c r="D9" s="4">
        <v>6.4285714285714297</v>
      </c>
      <c r="E9" s="4">
        <v>0</v>
      </c>
      <c r="F9" s="4">
        <v>500</v>
      </c>
      <c r="G9" s="4">
        <v>40.000000000000114</v>
      </c>
      <c r="H9" s="4">
        <v>274.99999999999994</v>
      </c>
    </row>
    <row r="10" spans="1:8" ht="17" thickBot="1" x14ac:dyDescent="0.25">
      <c r="B10" s="5" t="s">
        <v>15</v>
      </c>
      <c r="C10" s="5" t="s">
        <v>71</v>
      </c>
      <c r="D10" s="5">
        <v>4.2857142857142847</v>
      </c>
      <c r="E10" s="5">
        <v>0</v>
      </c>
      <c r="F10" s="5">
        <v>450</v>
      </c>
      <c r="G10" s="5">
        <v>550</v>
      </c>
      <c r="H10" s="5">
        <v>33.333333333333428</v>
      </c>
    </row>
    <row r="12" spans="1:8" ht="17" thickBot="1" x14ac:dyDescent="0.25">
      <c r="A12" t="s">
        <v>13</v>
      </c>
    </row>
    <row r="13" spans="1:8" x14ac:dyDescent="0.2">
      <c r="B13" s="6"/>
      <c r="C13" s="6"/>
      <c r="D13" s="6" t="s">
        <v>10</v>
      </c>
      <c r="E13" s="6" t="s">
        <v>49</v>
      </c>
      <c r="F13" s="6" t="s">
        <v>51</v>
      </c>
      <c r="G13" s="6" t="s">
        <v>46</v>
      </c>
      <c r="H13" s="6" t="s">
        <v>46</v>
      </c>
    </row>
    <row r="14" spans="1:8" ht="17" thickBot="1" x14ac:dyDescent="0.25">
      <c r="B14" s="7" t="s">
        <v>8</v>
      </c>
      <c r="C14" s="7" t="s">
        <v>9</v>
      </c>
      <c r="D14" s="7" t="s">
        <v>11</v>
      </c>
      <c r="E14" s="7" t="s">
        <v>50</v>
      </c>
      <c r="F14" s="7" t="s">
        <v>52</v>
      </c>
      <c r="G14" s="7" t="s">
        <v>47</v>
      </c>
      <c r="H14" s="7" t="s">
        <v>48</v>
      </c>
    </row>
    <row r="15" spans="1:8" x14ac:dyDescent="0.2">
      <c r="B15" s="4" t="s">
        <v>16</v>
      </c>
      <c r="C15" s="4" t="s">
        <v>66</v>
      </c>
      <c r="D15" s="4">
        <v>150</v>
      </c>
      <c r="E15" s="4">
        <v>2.8571428571428648</v>
      </c>
      <c r="F15" s="4">
        <v>150</v>
      </c>
      <c r="G15" s="4">
        <v>90.000000000000043</v>
      </c>
      <c r="H15" s="4">
        <v>21.999999999999993</v>
      </c>
    </row>
    <row r="16" spans="1:8" x14ac:dyDescent="0.2">
      <c r="B16" s="4" t="s">
        <v>17</v>
      </c>
      <c r="C16" s="4" t="s">
        <v>74</v>
      </c>
      <c r="D16" s="4">
        <v>6.4285714285714297</v>
      </c>
      <c r="E16" s="4">
        <v>0</v>
      </c>
      <c r="F16" s="4">
        <v>8</v>
      </c>
      <c r="G16" s="4">
        <v>1E+30</v>
      </c>
      <c r="H16" s="4">
        <v>1.5714285714285705</v>
      </c>
    </row>
    <row r="17" spans="2:8" ht="17" thickBot="1" x14ac:dyDescent="0.25">
      <c r="B17" s="5" t="s">
        <v>18</v>
      </c>
      <c r="C17" s="5" t="s">
        <v>68</v>
      </c>
      <c r="D17" s="5">
        <v>60</v>
      </c>
      <c r="E17" s="5">
        <v>78.571428571428541</v>
      </c>
      <c r="F17" s="5">
        <v>60</v>
      </c>
      <c r="G17" s="5">
        <v>5.4999999999999982</v>
      </c>
      <c r="H17" s="5">
        <v>22.500000000000011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9CD0-0CCC-E344-A32F-38219C7117A6}">
  <dimension ref="A1:J14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5.33203125" bestFit="1" customWidth="1"/>
    <col min="3" max="3" width="10.5" bestFit="1" customWidth="1"/>
    <col min="4" max="4" width="12.1640625" bestFit="1" customWidth="1"/>
    <col min="5" max="5" width="2.33203125" customWidth="1"/>
    <col min="6" max="6" width="6.1640625" bestFit="1" customWidth="1"/>
    <col min="7" max="7" width="9" bestFit="1" customWidth="1"/>
    <col min="8" max="8" width="2.33203125" customWidth="1"/>
    <col min="9" max="9" width="6.1640625" bestFit="1" customWidth="1"/>
    <col min="10" max="10" width="9" bestFit="1" customWidth="1"/>
  </cols>
  <sheetData>
    <row r="1" spans="1:10" x14ac:dyDescent="0.2">
      <c r="A1" s="3" t="s">
        <v>53</v>
      </c>
    </row>
    <row r="2" spans="1:10" x14ac:dyDescent="0.2">
      <c r="A2" s="3" t="s">
        <v>6</v>
      </c>
    </row>
    <row r="3" spans="1:10" x14ac:dyDescent="0.2">
      <c r="A3" s="3" t="s">
        <v>72</v>
      </c>
    </row>
    <row r="5" spans="1:10" ht="17" thickBot="1" x14ac:dyDescent="0.25"/>
    <row r="6" spans="1:10" x14ac:dyDescent="0.2">
      <c r="B6" s="6"/>
      <c r="C6" s="6" t="s">
        <v>44</v>
      </c>
      <c r="D6" s="6"/>
    </row>
    <row r="7" spans="1:10" ht="17" thickBot="1" x14ac:dyDescent="0.25">
      <c r="B7" s="7" t="s">
        <v>8</v>
      </c>
      <c r="C7" s="7" t="s">
        <v>9</v>
      </c>
      <c r="D7" s="7" t="s">
        <v>11</v>
      </c>
    </row>
    <row r="8" spans="1:10" ht="17" thickBot="1" x14ac:dyDescent="0.25">
      <c r="B8" s="5" t="s">
        <v>35</v>
      </c>
      <c r="C8" s="5" t="s">
        <v>36</v>
      </c>
      <c r="D8" s="9">
        <v>5142.8571428571431</v>
      </c>
    </row>
    <row r="10" spans="1:10" ht="17" thickBot="1" x14ac:dyDescent="0.25"/>
    <row r="11" spans="1:10" x14ac:dyDescent="0.2">
      <c r="B11" s="6"/>
      <c r="C11" s="6" t="s">
        <v>54</v>
      </c>
      <c r="D11" s="6"/>
      <c r="F11" s="6" t="s">
        <v>55</v>
      </c>
      <c r="G11" s="6" t="s">
        <v>44</v>
      </c>
      <c r="I11" s="6" t="s">
        <v>58</v>
      </c>
      <c r="J11" s="6" t="s">
        <v>44</v>
      </c>
    </row>
    <row r="12" spans="1:10" ht="17" thickBot="1" x14ac:dyDescent="0.25">
      <c r="B12" s="7" t="s">
        <v>8</v>
      </c>
      <c r="C12" s="7" t="s">
        <v>9</v>
      </c>
      <c r="D12" s="7" t="s">
        <v>11</v>
      </c>
      <c r="F12" s="7" t="s">
        <v>56</v>
      </c>
      <c r="G12" s="7" t="s">
        <v>57</v>
      </c>
      <c r="I12" s="7" t="s">
        <v>56</v>
      </c>
      <c r="J12" s="7" t="s">
        <v>57</v>
      </c>
    </row>
    <row r="13" spans="1:10" x14ac:dyDescent="0.2">
      <c r="B13" s="4" t="s">
        <v>14</v>
      </c>
      <c r="C13" s="4" t="s">
        <v>70</v>
      </c>
      <c r="D13" s="10">
        <v>6.4285714285714297</v>
      </c>
      <c r="F13" s="10">
        <v>0</v>
      </c>
      <c r="G13" s="10">
        <v>85</v>
      </c>
      <c r="I13" s="10">
        <v>250</v>
      </c>
      <c r="J13" s="10">
        <v>18835</v>
      </c>
    </row>
    <row r="14" spans="1:10" ht="17" thickBot="1" x14ac:dyDescent="0.25">
      <c r="B14" s="5" t="s">
        <v>15</v>
      </c>
      <c r="C14" s="5" t="s">
        <v>71</v>
      </c>
      <c r="D14" s="9">
        <v>4.2857142857142847</v>
      </c>
      <c r="F14" s="9">
        <v>0</v>
      </c>
      <c r="G14" s="9">
        <v>110</v>
      </c>
      <c r="I14" s="9">
        <v>398.5</v>
      </c>
      <c r="J14" s="9">
        <v>20035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61BD-15B6-5C4F-9591-016F4643B7D5}">
  <dimension ref="A5:G11"/>
  <sheetViews>
    <sheetView zoomScale="288" workbookViewId="0">
      <selection activeCell="A5" sqref="A5:G11"/>
    </sheetView>
  </sheetViews>
  <sheetFormatPr baseColWidth="10" defaultRowHeight="16" x14ac:dyDescent="0.2"/>
  <cols>
    <col min="1" max="1" width="12.5" bestFit="1" customWidth="1"/>
    <col min="2" max="2" width="12.83203125" bestFit="1" customWidth="1"/>
    <col min="3" max="3" width="13.5" customWidth="1"/>
    <col min="4" max="4" width="10.1640625" bestFit="1" customWidth="1"/>
    <col min="5" max="5" width="3.33203125" bestFit="1" customWidth="1"/>
    <col min="6" max="6" width="5.1640625" bestFit="1" customWidth="1"/>
    <col min="7" max="7" width="6.33203125" bestFit="1" customWidth="1"/>
  </cols>
  <sheetData>
    <row r="5" spans="1:7" s="2" customFormat="1" x14ac:dyDescent="0.2">
      <c r="A5" s="11" t="s">
        <v>0</v>
      </c>
      <c r="B5" s="11" t="s">
        <v>70</v>
      </c>
      <c r="C5" s="11" t="s">
        <v>71</v>
      </c>
      <c r="D5" s="11" t="s">
        <v>61</v>
      </c>
      <c r="E5" s="11" t="s">
        <v>3</v>
      </c>
      <c r="F5" s="11" t="s">
        <v>1</v>
      </c>
      <c r="G5" s="11" t="s">
        <v>4</v>
      </c>
    </row>
    <row r="6" spans="1:7" x14ac:dyDescent="0.2">
      <c r="A6" s="3"/>
      <c r="B6">
        <v>6.4285714285714297</v>
      </c>
      <c r="C6">
        <v>4.2857142857142847</v>
      </c>
      <c r="G6" s="1"/>
    </row>
    <row r="7" spans="1:7" x14ac:dyDescent="0.2">
      <c r="A7" s="12" t="s">
        <v>2</v>
      </c>
      <c r="B7">
        <v>500</v>
      </c>
      <c r="C7">
        <v>450</v>
      </c>
      <c r="F7">
        <f>B7*B6+C7*C6</f>
        <v>5142.8571428571431</v>
      </c>
      <c r="G7" s="1"/>
    </row>
    <row r="8" spans="1:7" x14ac:dyDescent="0.2">
      <c r="A8" s="3"/>
      <c r="G8" s="1"/>
    </row>
    <row r="9" spans="1:7" x14ac:dyDescent="0.2">
      <c r="A9" s="12" t="s">
        <v>59</v>
      </c>
      <c r="B9">
        <v>6</v>
      </c>
      <c r="C9">
        <v>5</v>
      </c>
      <c r="D9">
        <f>B9*B6+C9*C6</f>
        <v>60</v>
      </c>
      <c r="E9" t="s">
        <v>3</v>
      </c>
      <c r="F9">
        <v>60</v>
      </c>
      <c r="G9" s="1">
        <f>F9-D9</f>
        <v>0</v>
      </c>
    </row>
    <row r="10" spans="1:7" x14ac:dyDescent="0.2">
      <c r="A10" s="12" t="s">
        <v>60</v>
      </c>
      <c r="B10">
        <v>10</v>
      </c>
      <c r="C10">
        <v>20</v>
      </c>
      <c r="D10">
        <f>B10*B6+C10*C6</f>
        <v>150</v>
      </c>
      <c r="E10" t="s">
        <v>3</v>
      </c>
      <c r="F10">
        <v>150</v>
      </c>
      <c r="G10" s="1">
        <f t="shared" ref="G10:G11" si="0">F10-D10</f>
        <v>0</v>
      </c>
    </row>
    <row r="11" spans="1:7" ht="34" x14ac:dyDescent="0.2">
      <c r="A11" s="13" t="s">
        <v>69</v>
      </c>
      <c r="B11">
        <v>1</v>
      </c>
      <c r="D11">
        <f>B11*B6+C11*C6</f>
        <v>6.4285714285714297</v>
      </c>
      <c r="E11" t="s">
        <v>3</v>
      </c>
      <c r="F11">
        <v>8</v>
      </c>
      <c r="G11" s="1">
        <f t="shared" si="0"/>
        <v>1.5714285714285703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B65D-86E8-D34F-A3E0-5ED8068D42ED}">
  <dimension ref="A4:G10"/>
  <sheetViews>
    <sheetView zoomScale="245" workbookViewId="0">
      <selection activeCell="A4" sqref="A4:G10"/>
    </sheetView>
  </sheetViews>
  <sheetFormatPr baseColWidth="10" defaultRowHeight="16" x14ac:dyDescent="0.2"/>
  <sheetData>
    <row r="4" spans="1:7" x14ac:dyDescent="0.2">
      <c r="A4" s="11" t="s">
        <v>0</v>
      </c>
      <c r="B4" s="11" t="s">
        <v>70</v>
      </c>
      <c r="C4" s="11" t="s">
        <v>71</v>
      </c>
      <c r="D4" s="11" t="s">
        <v>61</v>
      </c>
      <c r="E4" s="11" t="s">
        <v>3</v>
      </c>
      <c r="F4" s="11" t="s">
        <v>1</v>
      </c>
      <c r="G4" s="11" t="s">
        <v>4</v>
      </c>
    </row>
    <row r="5" spans="1:7" x14ac:dyDescent="0.2">
      <c r="A5" s="3"/>
      <c r="B5">
        <v>6.4285714285714297</v>
      </c>
      <c r="C5">
        <v>4.2857142857142847</v>
      </c>
      <c r="G5" s="1"/>
    </row>
    <row r="6" spans="1:7" x14ac:dyDescent="0.2">
      <c r="A6" s="12" t="s">
        <v>2</v>
      </c>
      <c r="B6">
        <v>500</v>
      </c>
      <c r="C6">
        <v>450</v>
      </c>
      <c r="F6">
        <f>B6*B5+C6*C5</f>
        <v>5142.8571428571431</v>
      </c>
      <c r="G6" s="1"/>
    </row>
    <row r="7" spans="1:7" x14ac:dyDescent="0.2">
      <c r="A7" s="3"/>
      <c r="G7" s="1"/>
    </row>
    <row r="8" spans="1:7" x14ac:dyDescent="0.2">
      <c r="A8" s="12" t="s">
        <v>59</v>
      </c>
      <c r="B8">
        <v>6</v>
      </c>
      <c r="C8">
        <v>5</v>
      </c>
      <c r="D8">
        <f>B8*B5+C8*C5</f>
        <v>60</v>
      </c>
      <c r="E8" t="s">
        <v>3</v>
      </c>
      <c r="F8">
        <v>60</v>
      </c>
      <c r="G8" s="1">
        <f>F8-D8</f>
        <v>0</v>
      </c>
    </row>
    <row r="9" spans="1:7" x14ac:dyDescent="0.2">
      <c r="A9" s="12" t="s">
        <v>60</v>
      </c>
      <c r="B9">
        <v>10</v>
      </c>
      <c r="C9">
        <v>20</v>
      </c>
      <c r="D9">
        <f>B9*B5+C9*C5</f>
        <v>150</v>
      </c>
      <c r="E9" t="s">
        <v>3</v>
      </c>
      <c r="F9">
        <v>150</v>
      </c>
      <c r="G9" s="1">
        <f t="shared" ref="G9:G10" si="0">F9-D9</f>
        <v>0</v>
      </c>
    </row>
    <row r="10" spans="1:7" ht="51" x14ac:dyDescent="0.2">
      <c r="A10" s="13" t="s">
        <v>69</v>
      </c>
      <c r="B10">
        <v>1</v>
      </c>
      <c r="D10">
        <f>B10*B5+C10*C5</f>
        <v>6.4285714285714297</v>
      </c>
      <c r="E10" t="s">
        <v>3</v>
      </c>
      <c r="F10">
        <v>8</v>
      </c>
      <c r="G10" s="1">
        <f t="shared" si="0"/>
        <v>1.5714285714285703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Report 1</vt:lpstr>
      <vt:lpstr>Sensitivity Report 1</vt:lpstr>
      <vt:lpstr>Limits Report 1</vt:lpstr>
      <vt:lpstr>Answer Report 2</vt:lpstr>
      <vt:lpstr>Sensitivity Report 2</vt:lpstr>
      <vt:lpstr>Limits Report 2</vt:lpstr>
      <vt:lpstr>6Oz10Oz glass problem</vt:lpstr>
      <vt:lpstr>Champagne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2021-03-17T05:32:21Z</dcterms:created>
  <dcterms:modified xsi:type="dcterms:W3CDTF">2021-03-19T07:43:30Z</dcterms:modified>
</cp:coreProperties>
</file>