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Optimization/Assignment/"/>
    </mc:Choice>
  </mc:AlternateContent>
  <xr:revisionPtr revIDLastSave="0" documentId="13_ncr:1_{B7BD6858-74DC-5847-966A-D7C9ED046861}" xr6:coauthVersionLast="46" xr6:coauthVersionMax="46" xr10:uidLastSave="{00000000-0000-0000-0000-000000000000}"/>
  <bookViews>
    <workbookView xWindow="-20" yWindow="500" windowWidth="40040" windowHeight="25100" xr2:uid="{27EE6AE8-A677-304C-B842-8967343CEF02}"/>
  </bookViews>
  <sheets>
    <sheet name="LP Modeling 1.1" sheetId="4" r:id="rId1"/>
    <sheet name="LP Modeling 1.2" sheetId="1" r:id="rId2"/>
    <sheet name="LP Modeling 1.3" sheetId="2" r:id="rId3"/>
    <sheet name="Sensitivity Report" sheetId="3" r:id="rId4"/>
    <sheet name="Modeling Busines Logic 3.1" sheetId="8" r:id="rId5"/>
    <sheet name="Modeling Busines Logic 3.2" sheetId="5" r:id="rId6"/>
    <sheet name="Modeling Busines Logic 3.3" sheetId="6" r:id="rId7"/>
    <sheet name="Sheet3" sheetId="7" r:id="rId8"/>
  </sheets>
  <definedNames>
    <definedName name="solver_adj" localSheetId="0" hidden="1">'LP Modeling 1.1'!$C$37:$C$43</definedName>
    <definedName name="solver_adj" localSheetId="1" hidden="1">'LP Modeling 1.2'!$L$4:$L$17</definedName>
    <definedName name="solver_adj" localSheetId="2" hidden="1">'LP Modeling 1.3'!$E$20:$E$23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'LP Modeling 1.1'!$I$10</definedName>
    <definedName name="solver_lhs1" localSheetId="1" hidden="1">'LP Modeling 1.2'!$P$7:$P$12</definedName>
    <definedName name="solver_lhs1" localSheetId="2" hidden="1">'LP Modeling 1.3'!$C$26:$C$28</definedName>
    <definedName name="solver_lhs2" localSheetId="0" hidden="1">'LP Modeling 1.1'!$I$11</definedName>
    <definedName name="solver_lhs2" localSheetId="2" hidden="1">'LP Modeling 1.3'!$C$55:$C$57</definedName>
    <definedName name="solver_lhs3" localSheetId="0" hidden="1">'LP Modeling 1.1'!$I$12</definedName>
    <definedName name="solver_lhs4" localSheetId="0" hidden="1">'LP Modeling 1.1'!$I$13</definedName>
    <definedName name="solver_lhs5" localSheetId="0" hidden="1">'LP Modeling 1.1'!$I$14</definedName>
    <definedName name="solver_lhs6" localSheetId="0" hidden="1">'LP Modeling 1.1'!$I$8</definedName>
    <definedName name="solver_lhs7" localSheetId="0" hidden="1">'LP Modeling 1.1'!$I$9</definedName>
    <definedName name="solver_lhs8" localSheetId="0" hidden="1">'LP Modeling 1.1'!$I$9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7</definedName>
    <definedName name="solver_num" localSheetId="1" hidden="1">1</definedName>
    <definedName name="solver_num" localSheetId="2" hidden="1">2</definedName>
    <definedName name="solver_opt" localSheetId="0" hidden="1">'LP Modeling 1.1'!$C$44</definedName>
    <definedName name="solver_opt" localSheetId="1" hidden="1">'LP Modeling 1.2'!$U$47</definedName>
    <definedName name="solver_opt" localSheetId="2" hidden="1">'LP Modeling 1.3'!$F$32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el1" localSheetId="0" hidden="1">3</definedName>
    <definedName name="solver_rel1" localSheetId="1" hidden="1">2</definedName>
    <definedName name="solver_rel1" localSheetId="2" hidden="1">1</definedName>
    <definedName name="solver_rel2" localSheetId="0" hidden="1">3</definedName>
    <definedName name="solver_rel2" localSheetId="2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hs1" localSheetId="0" hidden="1">'LP Modeling 1.1'!$K$10</definedName>
    <definedName name="solver_rhs1" localSheetId="1" hidden="1">'LP Modeling 1.2'!#REF!</definedName>
    <definedName name="solver_rhs1" localSheetId="2" hidden="1">'LP Modeling 1.3'!$E$26:$E$28</definedName>
    <definedName name="solver_rhs2" localSheetId="0" hidden="1">'LP Modeling 1.1'!$K$11</definedName>
    <definedName name="solver_rhs2" localSheetId="2" hidden="1">'LP Modeling 1.3'!$E$55:$E$57</definedName>
    <definedName name="solver_rhs3" localSheetId="0" hidden="1">'LP Modeling 1.1'!$K$12</definedName>
    <definedName name="solver_rhs4" localSheetId="0" hidden="1">'LP Modeling 1.1'!$K$13</definedName>
    <definedName name="solver_rhs5" localSheetId="0" hidden="1">'LP Modeling 1.1'!$K$14</definedName>
    <definedName name="solver_rhs6" localSheetId="0" hidden="1">'LP Modeling 1.1'!$K$8</definedName>
    <definedName name="solver_rhs7" localSheetId="0" hidden="1">'LP Modeling 1.1'!$K$9</definedName>
    <definedName name="solver_rhs8" localSheetId="0" hidden="1">'LP Modeling 1.1'!$K$9</definedName>
    <definedName name="solver_rlx" localSheetId="0" hidden="1">1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2" l="1"/>
  <c r="C53" i="2"/>
  <c r="C54" i="2"/>
  <c r="E52" i="2"/>
  <c r="E26" i="2"/>
  <c r="C42" i="2"/>
  <c r="C41" i="2"/>
  <c r="E40" i="2"/>
  <c r="C40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C26" i="2"/>
  <c r="C28" i="2"/>
  <c r="C27" i="2"/>
  <c r="F8" i="2"/>
  <c r="G8" i="2" s="1"/>
  <c r="C45" i="2" s="1"/>
  <c r="C57" i="2" s="1"/>
  <c r="F7" i="2"/>
  <c r="G7" i="2" s="1"/>
  <c r="C44" i="2" s="1"/>
  <c r="C56" i="2" s="1"/>
  <c r="F6" i="2"/>
  <c r="G6" i="2" s="1"/>
  <c r="C43" i="2" s="1"/>
  <c r="C55" i="2" s="1"/>
  <c r="F9" i="2"/>
  <c r="G9" i="2" s="1"/>
  <c r="F10" i="2"/>
  <c r="G10" i="2" s="1"/>
  <c r="F11" i="2"/>
  <c r="G11" i="2" s="1"/>
  <c r="F12" i="2"/>
  <c r="G12" i="2" s="1"/>
  <c r="D22" i="2" s="1"/>
  <c r="F13" i="2"/>
  <c r="G13" i="2" s="1"/>
  <c r="F14" i="2"/>
  <c r="G14" i="2" s="1"/>
  <c r="F15" i="2"/>
  <c r="G15" i="2" s="1"/>
  <c r="E35" i="3"/>
  <c r="J23" i="3"/>
  <c r="G35" i="3"/>
  <c r="D39" i="3" s="1"/>
  <c r="H35" i="3"/>
  <c r="D40" i="3" s="1"/>
  <c r="I35" i="3"/>
  <c r="D41" i="3" s="1"/>
  <c r="F35" i="3"/>
  <c r="D38" i="3" s="1"/>
  <c r="H27" i="3"/>
  <c r="H26" i="3"/>
  <c r="H25" i="3"/>
  <c r="H24" i="3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D20" i="2" l="1"/>
  <c r="D23" i="2"/>
  <c r="D21" i="2"/>
  <c r="F32" i="2" l="1"/>
  <c r="O3" i="1"/>
  <c r="P12" i="1"/>
  <c r="P11" i="1"/>
  <c r="P10" i="1"/>
  <c r="P9" i="1"/>
  <c r="P7" i="1"/>
  <c r="P8" i="1"/>
  <c r="I8" i="4"/>
  <c r="I9" i="4"/>
  <c r="I10" i="4"/>
  <c r="I11" i="4"/>
  <c r="I12" i="4"/>
  <c r="I13" i="4"/>
  <c r="I14" i="4"/>
  <c r="B15" i="4"/>
  <c r="C15" i="4"/>
  <c r="D15" i="4"/>
  <c r="E15" i="4"/>
  <c r="F15" i="4"/>
  <c r="G15" i="4"/>
  <c r="H15" i="4"/>
  <c r="B27" i="4"/>
  <c r="C27" i="4"/>
  <c r="D27" i="4"/>
  <c r="E27" i="4"/>
  <c r="F27" i="4"/>
  <c r="G27" i="4"/>
  <c r="H27" i="4"/>
  <c r="B28" i="4"/>
  <c r="C28" i="4"/>
  <c r="D28" i="4"/>
  <c r="E28" i="4"/>
  <c r="F28" i="4"/>
  <c r="G28" i="4"/>
  <c r="H28" i="4"/>
  <c r="B29" i="4"/>
  <c r="C29" i="4"/>
  <c r="D29" i="4"/>
  <c r="E29" i="4"/>
  <c r="F29" i="4"/>
  <c r="G29" i="4"/>
  <c r="H29" i="4"/>
  <c r="B30" i="4"/>
  <c r="C30" i="4"/>
  <c r="D30" i="4"/>
  <c r="E30" i="4"/>
  <c r="F30" i="4"/>
  <c r="G30" i="4"/>
  <c r="H30" i="4"/>
  <c r="B31" i="4"/>
  <c r="C31" i="4"/>
  <c r="D31" i="4"/>
  <c r="E31" i="4"/>
  <c r="F31" i="4"/>
  <c r="G31" i="4"/>
  <c r="H31" i="4"/>
  <c r="B32" i="4"/>
  <c r="C32" i="4"/>
  <c r="D32" i="4"/>
  <c r="E32" i="4"/>
  <c r="F32" i="4"/>
  <c r="G32" i="4"/>
  <c r="H32" i="4"/>
  <c r="B33" i="4"/>
  <c r="C33" i="4"/>
  <c r="D33" i="4"/>
  <c r="E33" i="4"/>
  <c r="F33" i="4"/>
  <c r="G33" i="4"/>
  <c r="H33" i="4"/>
  <c r="C44" i="4"/>
</calcChain>
</file>

<file path=xl/sharedStrings.xml><?xml version="1.0" encoding="utf-8"?>
<sst xmlns="http://schemas.openxmlformats.org/spreadsheetml/2006/main" count="315" uniqueCount="160">
  <si>
    <t>B</t>
  </si>
  <si>
    <t>&gt;=</t>
  </si>
  <si>
    <t>X7</t>
  </si>
  <si>
    <t>X6</t>
  </si>
  <si>
    <t>X5</t>
  </si>
  <si>
    <t>X4</t>
  </si>
  <si>
    <t>X3</t>
  </si>
  <si>
    <t>X2</t>
  </si>
  <si>
    <t>X1</t>
  </si>
  <si>
    <t>Solver Output</t>
  </si>
  <si>
    <t>( 14 ) --</t>
  </si>
  <si>
    <t>( 13 ) --</t>
  </si>
  <si>
    <t>( 12 ) --</t>
  </si>
  <si>
    <t>( 11 ) --</t>
  </si>
  <si>
    <t>( 10 ) --</t>
  </si>
  <si>
    <t>( 9 ) --</t>
  </si>
  <si>
    <t>( 8 ) --</t>
  </si>
  <si>
    <t>( 7 ) --</t>
  </si>
  <si>
    <t>( 6 ) --</t>
  </si>
  <si>
    <t>( 5 ) --</t>
  </si>
  <si>
    <t>( 4 ) --</t>
  </si>
  <si>
    <t>( 3 ) --</t>
  </si>
  <si>
    <t>( 2 ) --</t>
  </si>
  <si>
    <t>( 1 ) --</t>
  </si>
  <si>
    <t>Constraints</t>
  </si>
  <si>
    <t>Sun</t>
  </si>
  <si>
    <t>Sat</t>
  </si>
  <si>
    <t>Fri</t>
  </si>
  <si>
    <t>Thu</t>
  </si>
  <si>
    <t>Wed</t>
  </si>
  <si>
    <t>Tue</t>
  </si>
  <si>
    <t>Mon</t>
  </si>
  <si>
    <t>Staff Needed</t>
  </si>
  <si>
    <t>X</t>
  </si>
  <si>
    <t>Y</t>
  </si>
  <si>
    <t>Z</t>
  </si>
  <si>
    <t>W</t>
  </si>
  <si>
    <t>6 Year</t>
  </si>
  <si>
    <t>Yr 1</t>
  </si>
  <si>
    <t>Yr 2</t>
  </si>
  <si>
    <t>Yr 3</t>
  </si>
  <si>
    <t>Yr 4</t>
  </si>
  <si>
    <t>Yr 5</t>
  </si>
  <si>
    <t>Yr 6</t>
  </si>
  <si>
    <t>Y45</t>
  </si>
  <si>
    <t>Y12</t>
  </si>
  <si>
    <t>Z234</t>
  </si>
  <si>
    <t>Y23</t>
  </si>
  <si>
    <t>X1+Y12+W</t>
  </si>
  <si>
    <t>=</t>
  </si>
  <si>
    <t>Y56</t>
  </si>
  <si>
    <t>Z345</t>
  </si>
  <si>
    <t>Z456</t>
  </si>
  <si>
    <t>X2+Y23+Z234-1.05*X1</t>
  </si>
  <si>
    <t>X3+Z345-1.05*X2-1.12*Y12</t>
  </si>
  <si>
    <t>X4+Y45+Z456-1.05*X3-1.11*Y23</t>
  </si>
  <si>
    <t>X5+Y56-1.05*X4 - 1.18*Z234 - 1.24*W</t>
  </si>
  <si>
    <t>X6-1.05*X5-1.11*Y45-1.18*Z345</t>
  </si>
  <si>
    <t>Visualizing Investment Constraints</t>
  </si>
  <si>
    <t>Decision Variables</t>
  </si>
  <si>
    <t>Optimal Soln</t>
  </si>
  <si>
    <t>max(1.05*X6+1.11*Y56+1.18*Z456)</t>
  </si>
  <si>
    <t>Objective function</t>
  </si>
  <si>
    <t>Schedule</t>
  </si>
  <si>
    <t>Employee Count</t>
  </si>
  <si>
    <t>Total</t>
  </si>
  <si>
    <t xml:space="preserve">Let X1-X7 represent schedule of Employees starting their week on respective weekdays from Mon to Sun, Thus: </t>
  </si>
  <si>
    <t>Staff requirement on Given days</t>
  </si>
  <si>
    <t>Objective function is to minimize X1+X2+X3+X4+X5+X6+X7</t>
  </si>
  <si>
    <t>Name</t>
  </si>
  <si>
    <t>Strike Price</t>
  </si>
  <si>
    <t>Spot Price</t>
  </si>
  <si>
    <t>Payoff</t>
  </si>
  <si>
    <t>Profit</t>
  </si>
  <si>
    <t>D</t>
  </si>
  <si>
    <t>R</t>
  </si>
  <si>
    <t>L</t>
  </si>
  <si>
    <t>M</t>
  </si>
  <si>
    <t>8.X1+4.X2+2.X3+1.X4 &lt;=12</t>
  </si>
  <si>
    <t>8.X1+4.X2+2.X3+1.X4 &gt;=4</t>
  </si>
  <si>
    <t>CONSTRAINTS</t>
  </si>
  <si>
    <t>INT</t>
  </si>
  <si>
    <t>16.B+8.D+4.R+2.L+1.M &gt;=24</t>
  </si>
  <si>
    <t>16.B+8.D+4.R+2.L+1.M &lt;=28</t>
  </si>
  <si>
    <t>O</t>
  </si>
  <si>
    <t>&lt;=</t>
  </si>
  <si>
    <t>Cola (bottle)</t>
  </si>
  <si>
    <t>Item</t>
  </si>
  <si>
    <t>Calories</t>
  </si>
  <si>
    <t>Chocolate</t>
  </si>
  <si>
    <t>Sugar</t>
  </si>
  <si>
    <t>Fat</t>
  </si>
  <si>
    <t>Brownie</t>
  </si>
  <si>
    <t>Code</t>
  </si>
  <si>
    <t>BR</t>
  </si>
  <si>
    <t>COLA</t>
  </si>
  <si>
    <t>PC</t>
  </si>
  <si>
    <t>Pineapple cheese cake piece</t>
  </si>
  <si>
    <t>Chocolate ice cream scoop</t>
  </si>
  <si>
    <t>Answer:</t>
  </si>
  <si>
    <t xml:space="preserve">Cost </t>
  </si>
  <si>
    <t>IC</t>
  </si>
  <si>
    <t xml:space="preserve">Brownie Quantity </t>
  </si>
  <si>
    <t>Cola quantity</t>
  </si>
  <si>
    <t>Pineapple Cheese cake quantity</t>
  </si>
  <si>
    <t>Decision Variable Name</t>
  </si>
  <si>
    <t>Chocolate Ice Cream Quantity</t>
  </si>
  <si>
    <t xml:space="preserve">O = Minimize(50xBR + 20xIC + 30xCOLA + 80xPC) </t>
  </si>
  <si>
    <t>Objective Function</t>
  </si>
  <si>
    <t>Forming optimal solution</t>
  </si>
  <si>
    <t>Total Calories</t>
  </si>
  <si>
    <t>Total Chocolate</t>
  </si>
  <si>
    <t>Total Sugar</t>
  </si>
  <si>
    <t>Totals =&gt;</t>
  </si>
  <si>
    <t>X1+X2+X3+X4 = 0</t>
  </si>
  <si>
    <t>Adding Cadbury Eggs</t>
  </si>
  <si>
    <t>Feasible</t>
  </si>
  <si>
    <t xml:space="preserve">**Integer value of binary bits are calculated by </t>
  </si>
  <si>
    <t>INT**</t>
  </si>
  <si>
    <t>Bond</t>
  </si>
  <si>
    <t>Optimal Solution</t>
  </si>
  <si>
    <t>Stocks_20</t>
  </si>
  <si>
    <t>Stocks_12</t>
  </si>
  <si>
    <t>Stocks_40</t>
  </si>
  <si>
    <t>Invested Units</t>
  </si>
  <si>
    <t>C_Sell</t>
  </si>
  <si>
    <t>C_Buy</t>
  </si>
  <si>
    <t>Expected Profit for investments (Decision Variables)</t>
  </si>
  <si>
    <t>Fixed Amount to Invest</t>
  </si>
  <si>
    <t>C_Buy_20</t>
  </si>
  <si>
    <t>C_Buy_40</t>
  </si>
  <si>
    <t>C_Buy_12</t>
  </si>
  <si>
    <t>C_Sell_20</t>
  </si>
  <si>
    <t>C_Sell_40</t>
  </si>
  <si>
    <t>C_Sell_12</t>
  </si>
  <si>
    <t>Purchase Cost</t>
  </si>
  <si>
    <t>Max.profit [(100xC_Sell)-(100xC_Buy)+10xBond+4xStocks]</t>
  </si>
  <si>
    <t>Purchase</t>
  </si>
  <si>
    <t xml:space="preserve"> we are considering expected value of investments for all maturity scenarios</t>
  </si>
  <si>
    <t>C_Sell (Cs)</t>
  </si>
  <si>
    <t>C_Buy (Cb)</t>
  </si>
  <si>
    <t>Bond(B)</t>
  </si>
  <si>
    <t>Stocks(S)</t>
  </si>
  <si>
    <t>1000.Cb-1000.Cs+20.S+90.B</t>
  </si>
  <si>
    <t>Investment Choices, Possibilities, Payoff and Profits</t>
  </si>
  <si>
    <t>Single Equation</t>
  </si>
  <si>
    <t>Let Xa and Xb be choices to go with A or B</t>
  </si>
  <si>
    <t>Xa</t>
  </si>
  <si>
    <t>Xb</t>
  </si>
  <si>
    <t xml:space="preserve">Available choices can be tabled as </t>
  </si>
  <si>
    <t xml:space="preserve">  </t>
  </si>
  <si>
    <t>Constraints for Profit &gt;=2000</t>
  </si>
  <si>
    <t>500Cs-500Cb+0S+10B</t>
  </si>
  <si>
    <t>At 20</t>
  </si>
  <si>
    <t>At 40</t>
  </si>
  <si>
    <t>At 12</t>
  </si>
  <si>
    <t>-1500Cs+1500Cb+20S+10B</t>
  </si>
  <si>
    <t>1000Cs-1000Cb-8S+10B</t>
  </si>
  <si>
    <t>Added Constraints for Q1.3.2</t>
  </si>
  <si>
    <t>Changed Constraints for Q1.3.3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</si>
</sst>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472C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6" fillId="8" borderId="0" applyNumberFormat="0" applyBorder="0" applyAlignment="0" applyProtection="0"/>
    <xf numFmtId="0" fontId="9" fillId="0" borderId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</cellStyleXfs>
  <cellXfs count="307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5" xfId="0" applyFill="1" applyBorder="1"/>
    <xf numFmtId="0" fontId="0" fillId="0" borderId="6" xfId="0" applyBorder="1" applyAlignment="1">
      <alignment horizontal="right"/>
    </xf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0" borderId="0" xfId="0" applyAlignment="1">
      <alignment horizontal="right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0" fillId="0" borderId="6" xfId="0" applyBorder="1"/>
    <xf numFmtId="0" fontId="4" fillId="0" borderId="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/>
    <xf numFmtId="0" fontId="4" fillId="6" borderId="28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4" fontId="0" fillId="0" borderId="0" xfId="0" quotePrefix="1" applyNumberFormat="1" applyBorder="1"/>
    <xf numFmtId="164" fontId="0" fillId="0" borderId="24" xfId="0" applyNumberFormat="1" applyBorder="1" applyAlignment="1">
      <alignment horizontal="center" vertical="center"/>
    </xf>
    <xf numFmtId="164" fontId="0" fillId="0" borderId="18" xfId="0" quotePrefix="1" applyNumberFormat="1" applyBorder="1"/>
    <xf numFmtId="164" fontId="0" fillId="0" borderId="1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vertical="center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2" xfId="0" quotePrefix="1" applyNumberFormat="1" applyBorder="1"/>
    <xf numFmtId="164" fontId="0" fillId="0" borderId="23" xfId="0" applyNumberFormat="1" applyBorder="1" applyAlignment="1">
      <alignment horizontal="center" vertical="center"/>
    </xf>
    <xf numFmtId="0" fontId="0" fillId="0" borderId="3" xfId="0" applyBorder="1"/>
    <xf numFmtId="0" fontId="0" fillId="0" borderId="18" xfId="0" applyBorder="1"/>
    <xf numFmtId="0" fontId="0" fillId="2" borderId="0" xfId="0" applyFill="1"/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12" xfId="0" applyFill="1" applyBorder="1"/>
    <xf numFmtId="0" fontId="0" fillId="2" borderId="6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 applyAlignment="1">
      <alignment horizontal="center"/>
    </xf>
    <xf numFmtId="0" fontId="6" fillId="8" borderId="12" xfId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9" fillId="0" borderId="0" xfId="2"/>
    <xf numFmtId="0" fontId="9" fillId="0" borderId="0" xfId="2" applyAlignment="1">
      <alignment horizontal="center"/>
    </xf>
    <xf numFmtId="0" fontId="10" fillId="0" borderId="0" xfId="2" applyFon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9" fillId="0" borderId="46" xfId="2" applyNumberFormat="1" applyFont="1" applyBorder="1" applyAlignment="1">
      <alignment horizontal="center"/>
    </xf>
    <xf numFmtId="0" fontId="9" fillId="0" borderId="47" xfId="2" applyNumberFormat="1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0" fillId="0" borderId="0" xfId="0" applyFont="1"/>
    <xf numFmtId="0" fontId="10" fillId="0" borderId="31" xfId="0" applyFont="1" applyBorder="1"/>
    <xf numFmtId="0" fontId="10" fillId="0" borderId="32" xfId="0" applyFont="1" applyBorder="1"/>
    <xf numFmtId="0" fontId="10" fillId="0" borderId="57" xfId="0" applyFont="1" applyBorder="1"/>
    <xf numFmtId="0" fontId="0" fillId="0" borderId="34" xfId="0" applyBorder="1"/>
    <xf numFmtId="0" fontId="10" fillId="0" borderId="58" xfId="0" applyFont="1" applyBorder="1"/>
    <xf numFmtId="0" fontId="10" fillId="0" borderId="33" xfId="0" applyFont="1" applyBorder="1"/>
    <xf numFmtId="0" fontId="10" fillId="0" borderId="25" xfId="0" applyFont="1" applyBorder="1"/>
    <xf numFmtId="0" fontId="10" fillId="16" borderId="12" xfId="0" applyFont="1" applyFill="1" applyBorder="1"/>
    <xf numFmtId="0" fontId="10" fillId="16" borderId="41" xfId="0" applyFont="1" applyFill="1" applyBorder="1"/>
    <xf numFmtId="0" fontId="0" fillId="0" borderId="59" xfId="0" applyBorder="1"/>
    <xf numFmtId="0" fontId="10" fillId="0" borderId="60" xfId="0" applyFont="1" applyBorder="1"/>
    <xf numFmtId="0" fontId="10" fillId="0" borderId="48" xfId="0" applyFont="1" applyBorder="1"/>
    <xf numFmtId="0" fontId="10" fillId="0" borderId="12" xfId="0" applyFont="1" applyBorder="1"/>
    <xf numFmtId="0" fontId="10" fillId="0" borderId="41" xfId="0" applyFont="1" applyBorder="1"/>
    <xf numFmtId="0" fontId="10" fillId="16" borderId="48" xfId="0" applyFont="1" applyFill="1" applyBorder="1"/>
    <xf numFmtId="0" fontId="0" fillId="17" borderId="59" xfId="0" applyFill="1" applyBorder="1"/>
    <xf numFmtId="0" fontId="10" fillId="0" borderId="49" xfId="0" applyFont="1" applyBorder="1"/>
    <xf numFmtId="0" fontId="10" fillId="0" borderId="50" xfId="0" applyFont="1" applyBorder="1"/>
    <xf numFmtId="0" fontId="10" fillId="0" borderId="61" xfId="0" applyFont="1" applyBorder="1"/>
    <xf numFmtId="0" fontId="0" fillId="17" borderId="38" xfId="0" applyFill="1" applyBorder="1"/>
    <xf numFmtId="0" fontId="10" fillId="0" borderId="29" xfId="0" applyFont="1" applyBorder="1"/>
    <xf numFmtId="0" fontId="10" fillId="0" borderId="51" xfId="0" applyFont="1" applyBorder="1"/>
    <xf numFmtId="0" fontId="10" fillId="0" borderId="56" xfId="0" applyFont="1" applyBorder="1" applyAlignment="1">
      <alignment horizontal="center"/>
    </xf>
    <xf numFmtId="0" fontId="10" fillId="18" borderId="11" xfId="0" applyFont="1" applyFill="1" applyBorder="1" applyAlignment="1">
      <alignment horizontal="center"/>
    </xf>
    <xf numFmtId="0" fontId="10" fillId="18" borderId="12" xfId="0" applyFont="1" applyFill="1" applyBorder="1"/>
    <xf numFmtId="0" fontId="10" fillId="10" borderId="11" xfId="0" applyFont="1" applyFill="1" applyBorder="1" applyAlignment="1">
      <alignment horizontal="center"/>
    </xf>
    <xf numFmtId="0" fontId="10" fillId="10" borderId="12" xfId="0" applyFont="1" applyFill="1" applyBorder="1"/>
    <xf numFmtId="0" fontId="10" fillId="0" borderId="11" xfId="0" applyFont="1" applyBorder="1" applyAlignment="1"/>
    <xf numFmtId="0" fontId="10" fillId="0" borderId="0" xfId="0" applyFont="1" applyAlignment="1"/>
    <xf numFmtId="0" fontId="0" fillId="0" borderId="8" xfId="0" applyBorder="1"/>
    <xf numFmtId="0" fontId="0" fillId="0" borderId="62" xfId="0" applyBorder="1"/>
    <xf numFmtId="0" fontId="0" fillId="0" borderId="8" xfId="0" applyBorder="1" applyAlignment="1">
      <alignment horizontal="center"/>
    </xf>
    <xf numFmtId="0" fontId="0" fillId="0" borderId="62" xfId="0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0" fillId="18" borderId="41" xfId="0" applyFont="1" applyFill="1" applyBorder="1" applyAlignment="1">
      <alignment horizontal="center"/>
    </xf>
    <xf numFmtId="0" fontId="10" fillId="10" borderId="63" xfId="0" applyFont="1" applyFill="1" applyBorder="1" applyAlignment="1">
      <alignment horizontal="center"/>
    </xf>
    <xf numFmtId="0" fontId="10" fillId="18" borderId="63" xfId="0" applyFont="1" applyFill="1" applyBorder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10" fillId="12" borderId="41" xfId="0" applyFont="1" applyFill="1" applyBorder="1" applyAlignment="1">
      <alignment horizontal="center"/>
    </xf>
    <xf numFmtId="0" fontId="0" fillId="0" borderId="39" xfId="0" applyBorder="1"/>
    <xf numFmtId="0" fontId="0" fillId="0" borderId="41" xfId="0" applyBorder="1"/>
    <xf numFmtId="0" fontId="0" fillId="0" borderId="5" xfId="0" applyBorder="1"/>
    <xf numFmtId="0" fontId="10" fillId="0" borderId="60" xfId="0" applyFont="1" applyBorder="1" applyAlignment="1">
      <alignment horizontal="left"/>
    </xf>
    <xf numFmtId="0" fontId="10" fillId="0" borderId="62" xfId="0" applyFont="1" applyBorder="1" applyAlignment="1">
      <alignment horizontal="left"/>
    </xf>
    <xf numFmtId="0" fontId="1" fillId="0" borderId="12" xfId="0" applyFont="1" applyFill="1" applyBorder="1" applyAlignment="1">
      <alignment horizontal="center"/>
    </xf>
    <xf numFmtId="0" fontId="0" fillId="0" borderId="60" xfId="0" applyBorder="1"/>
    <xf numFmtId="0" fontId="0" fillId="0" borderId="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0" xfId="0" applyFont="1" applyBorder="1" applyAlignment="1"/>
    <xf numFmtId="0" fontId="14" fillId="0" borderId="0" xfId="0" applyFont="1" applyBorder="1" applyAlignment="1"/>
    <xf numFmtId="0" fontId="3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indent="2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8" borderId="11" xfId="1" applyFont="1" applyBorder="1" applyAlignment="1">
      <alignment horizontal="center"/>
    </xf>
    <xf numFmtId="0" fontId="8" fillId="8" borderId="10" xfId="1" applyFont="1" applyBorder="1" applyAlignment="1">
      <alignment horizontal="center"/>
    </xf>
    <xf numFmtId="0" fontId="8" fillId="8" borderId="9" xfId="1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8" borderId="23" xfId="1" applyBorder="1" applyAlignment="1">
      <alignment horizontal="center" vertical="center"/>
    </xf>
    <xf numFmtId="0" fontId="6" fillId="8" borderId="19" xfId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16" xfId="0" applyFont="1" applyBorder="1" applyAlignment="1">
      <alignment horizontal="right" indent="1"/>
    </xf>
    <xf numFmtId="0" fontId="12" fillId="0" borderId="17" xfId="0" applyFont="1" applyBorder="1" applyAlignment="1">
      <alignment horizontal="right" indent="1"/>
    </xf>
    <xf numFmtId="0" fontId="10" fillId="18" borderId="11" xfId="0" applyFont="1" applyFill="1" applyBorder="1" applyAlignment="1">
      <alignment horizontal="left"/>
    </xf>
    <xf numFmtId="0" fontId="10" fillId="18" borderId="10" xfId="0" applyFont="1" applyFill="1" applyBorder="1" applyAlignment="1">
      <alignment horizontal="left"/>
    </xf>
    <xf numFmtId="0" fontId="10" fillId="10" borderId="11" xfId="0" applyFont="1" applyFill="1" applyBorder="1" applyAlignment="1">
      <alignment horizontal="left"/>
    </xf>
    <xf numFmtId="0" fontId="10" fillId="10" borderId="10" xfId="0" applyFont="1" applyFill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45" xfId="2" applyBorder="1" applyAlignment="1">
      <alignment horizontal="center"/>
    </xf>
    <xf numFmtId="0" fontId="9" fillId="0" borderId="44" xfId="2" applyBorder="1" applyAlignment="1">
      <alignment horizontal="center"/>
    </xf>
    <xf numFmtId="0" fontId="9" fillId="0" borderId="43" xfId="2" applyBorder="1" applyAlignment="1">
      <alignment horizontal="center"/>
    </xf>
    <xf numFmtId="0" fontId="9" fillId="0" borderId="42" xfId="2" applyBorder="1" applyAlignment="1">
      <alignment horizontal="center"/>
    </xf>
    <xf numFmtId="0" fontId="9" fillId="0" borderId="16" xfId="2" applyBorder="1" applyAlignment="1">
      <alignment horizontal="center"/>
    </xf>
    <xf numFmtId="0" fontId="9" fillId="0" borderId="28" xfId="2" applyBorder="1" applyAlignment="1">
      <alignment horizontal="center"/>
    </xf>
    <xf numFmtId="0" fontId="9" fillId="0" borderId="30" xfId="2" applyBorder="1" applyAlignment="1">
      <alignment horizontal="center"/>
    </xf>
    <xf numFmtId="0" fontId="9" fillId="0" borderId="2" xfId="2" applyBorder="1" applyAlignment="1">
      <alignment horizontal="center"/>
    </xf>
    <xf numFmtId="0" fontId="9" fillId="0" borderId="1" xfId="2" applyBorder="1" applyAlignment="1">
      <alignment horizontal="center"/>
    </xf>
    <xf numFmtId="0" fontId="9" fillId="0" borderId="42" xfId="2" applyBorder="1" applyAlignment="1">
      <alignment horizontal="left" indent="12"/>
    </xf>
    <xf numFmtId="0" fontId="9" fillId="0" borderId="16" xfId="2" applyBorder="1" applyAlignment="1">
      <alignment horizontal="left" indent="12"/>
    </xf>
    <xf numFmtId="0" fontId="9" fillId="0" borderId="28" xfId="2" applyBorder="1" applyAlignment="1">
      <alignment horizontal="left" indent="12"/>
    </xf>
    <xf numFmtId="0" fontId="9" fillId="0" borderId="6" xfId="2" applyBorder="1" applyAlignment="1">
      <alignment horizontal="left" indent="12"/>
    </xf>
    <xf numFmtId="0" fontId="9" fillId="0" borderId="0" xfId="2" applyAlignment="1">
      <alignment horizontal="left" indent="12"/>
    </xf>
    <xf numFmtId="0" fontId="9" fillId="0" borderId="24" xfId="2" applyBorder="1" applyAlignment="1">
      <alignment horizontal="left" indent="12"/>
    </xf>
    <xf numFmtId="0" fontId="9" fillId="0" borderId="3" xfId="2" applyBorder="1" applyAlignment="1">
      <alignment horizontal="left" indent="12"/>
    </xf>
    <xf numFmtId="0" fontId="9" fillId="0" borderId="18" xfId="2" applyBorder="1" applyAlignment="1">
      <alignment horizontal="left" indent="12"/>
    </xf>
    <xf numFmtId="0" fontId="9" fillId="0" borderId="19" xfId="2" applyBorder="1" applyAlignment="1">
      <alignment horizontal="left" indent="12"/>
    </xf>
    <xf numFmtId="0" fontId="13" fillId="0" borderId="0" xfId="0" applyFont="1" applyAlignment="1">
      <alignment horizontal="center" vertical="center" wrapText="1"/>
    </xf>
    <xf numFmtId="0" fontId="15" fillId="20" borderId="11" xfId="4" applyBorder="1" applyAlignment="1">
      <alignment horizontal="center" vertical="center" wrapText="1"/>
    </xf>
    <xf numFmtId="0" fontId="15" fillId="20" borderId="10" xfId="4" applyBorder="1" applyAlignment="1">
      <alignment horizontal="center" vertical="center" wrapText="1"/>
    </xf>
    <xf numFmtId="0" fontId="1" fillId="20" borderId="9" xfId="4" applyFont="1" applyBorder="1" applyAlignment="1">
      <alignment horizontal="center" vertical="center"/>
    </xf>
    <xf numFmtId="0" fontId="1" fillId="11" borderId="31" xfId="0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0" fillId="22" borderId="24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2" borderId="18" xfId="0" applyFill="1" applyBorder="1" applyAlignment="1">
      <alignment horizontal="center"/>
    </xf>
    <xf numFmtId="0" fontId="0" fillId="22" borderId="19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1" borderId="15" xfId="0" applyFill="1" applyBorder="1" applyAlignment="1">
      <alignment horizontal="center"/>
    </xf>
    <xf numFmtId="0" fontId="0" fillId="21" borderId="16" xfId="0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0" fillId="21" borderId="40" xfId="0" applyFill="1" applyBorder="1" applyAlignment="1">
      <alignment horizontal="center"/>
    </xf>
    <xf numFmtId="0" fontId="0" fillId="21" borderId="64" xfId="0" applyFill="1" applyBorder="1" applyAlignment="1">
      <alignment horizontal="center"/>
    </xf>
    <xf numFmtId="0" fontId="0" fillId="21" borderId="39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62" xfId="0" applyFill="1" applyBorder="1" applyAlignment="1">
      <alignment horizontal="center"/>
    </xf>
    <xf numFmtId="0" fontId="0" fillId="23" borderId="15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40" xfId="0" applyFill="1" applyBorder="1" applyAlignment="1">
      <alignment horizontal="center"/>
    </xf>
    <xf numFmtId="0" fontId="0" fillId="23" borderId="64" xfId="0" applyFill="1" applyBorder="1" applyAlignment="1">
      <alignment horizontal="center"/>
    </xf>
    <xf numFmtId="0" fontId="0" fillId="23" borderId="39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0" fillId="23" borderId="62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0" xfId="0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10" fillId="21" borderId="12" xfId="0" applyFont="1" applyFill="1" applyBorder="1" applyAlignment="1">
      <alignment horizontal="right"/>
    </xf>
    <xf numFmtId="0" fontId="10" fillId="24" borderId="12" xfId="0" applyFont="1" applyFill="1" applyBorder="1" applyAlignment="1">
      <alignment horizontal="right"/>
    </xf>
    <xf numFmtId="0" fontId="10" fillId="10" borderId="12" xfId="0" applyFont="1" applyFill="1" applyBorder="1" applyAlignment="1">
      <alignment horizontal="right"/>
    </xf>
    <xf numFmtId="0" fontId="10" fillId="22" borderId="12" xfId="0" applyFont="1" applyFill="1" applyBorder="1" applyAlignment="1">
      <alignment horizontal="right"/>
    </xf>
    <xf numFmtId="0" fontId="15" fillId="20" borderId="0" xfId="4" applyBorder="1" applyAlignment="1">
      <alignment horizontal="center" vertical="center" wrapText="1"/>
    </xf>
    <xf numFmtId="0" fontId="1" fillId="20" borderId="0" xfId="4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8" borderId="40" xfId="1" applyFont="1" applyBorder="1" applyAlignment="1">
      <alignment horizontal="left" vertical="center" wrapText="1"/>
    </xf>
    <xf numFmtId="0" fontId="0" fillId="22" borderId="39" xfId="0" applyFill="1" applyBorder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6" fillId="8" borderId="6" xfId="1" applyBorder="1" applyAlignment="1">
      <alignment horizontal="center"/>
    </xf>
    <xf numFmtId="0" fontId="6" fillId="8" borderId="24" xfId="1" applyBorder="1" applyAlignment="1">
      <alignment horizontal="center"/>
    </xf>
    <xf numFmtId="0" fontId="16" fillId="19" borderId="3" xfId="3" applyBorder="1" applyAlignment="1">
      <alignment horizontal="center"/>
    </xf>
    <xf numFmtId="0" fontId="16" fillId="19" borderId="19" xfId="3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8" fillId="0" borderId="0" xfId="0" applyFont="1"/>
    <xf numFmtId="0" fontId="0" fillId="22" borderId="65" xfId="0" applyFill="1" applyBorder="1" applyAlignment="1">
      <alignment horizontal="right"/>
    </xf>
    <xf numFmtId="0" fontId="0" fillId="0" borderId="7" xfId="0" applyBorder="1"/>
    <xf numFmtId="0" fontId="10" fillId="21" borderId="25" xfId="0" applyFont="1" applyFill="1" applyBorder="1" applyAlignment="1">
      <alignment horizontal="right"/>
    </xf>
    <xf numFmtId="0" fontId="0" fillId="0" borderId="4" xfId="0" applyBorder="1"/>
    <xf numFmtId="0" fontId="10" fillId="24" borderId="25" xfId="0" applyFont="1" applyFill="1" applyBorder="1" applyAlignment="1">
      <alignment horizontal="right"/>
    </xf>
    <xf numFmtId="0" fontId="0" fillId="25" borderId="3" xfId="0" applyFill="1" applyBorder="1" applyAlignment="1">
      <alignment horizontal="right"/>
    </xf>
    <xf numFmtId="0" fontId="0" fillId="0" borderId="18" xfId="0" applyFill="1" applyBorder="1"/>
    <xf numFmtId="0" fontId="0" fillId="0" borderId="19" xfId="0" applyBorder="1"/>
    <xf numFmtId="0" fontId="0" fillId="0" borderId="5" xfId="0" applyFill="1" applyBorder="1"/>
    <xf numFmtId="0" fontId="0" fillId="25" borderId="63" xfId="0" applyFill="1" applyBorder="1" applyAlignment="1">
      <alignment horizontal="right"/>
    </xf>
    <xf numFmtId="0" fontId="0" fillId="25" borderId="63" xfId="0" quotePrefix="1" applyFill="1" applyBorder="1" applyAlignment="1">
      <alignment horizontal="right"/>
    </xf>
    <xf numFmtId="0" fontId="0" fillId="0" borderId="1" xfId="0" applyBorder="1"/>
  </cellXfs>
  <cellStyles count="5">
    <cellStyle name="20% - Accent6" xfId="4" builtinId="50"/>
    <cellStyle name="Bad" xfId="3" builtinId="27"/>
    <cellStyle name="Good" xfId="1" builtinId="26"/>
    <cellStyle name="Normal" xfId="0" builtinId="0"/>
    <cellStyle name="Normal 2" xfId="2" xr:uid="{6A42D539-0A66-ED49-9500-06E7A96BC06E}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4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6</xdr:col>
      <xdr:colOff>660400</xdr:colOff>
      <xdr:row>1</xdr:row>
      <xdr:rowOff>177800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7D75EC6E-A3D6-DD46-9355-F6728F9BF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90500"/>
          <a:ext cx="660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6ADFE-629C-6649-B0C3-FD8ED686D8F0}" name="Table1" displayName="Table1" ref="B36:C43" totalsRowShown="0" headerRowDxfId="26" dataDxfId="25">
  <autoFilter ref="B36:C43" xr:uid="{6CA6F6E6-BEB0-634B-B541-1C1A18DE140B}"/>
  <tableColumns count="2">
    <tableColumn id="1" xr3:uid="{903657DD-38E5-B24B-898E-90DB75144A99}" name="Schedule" dataDxfId="24"/>
    <tableColumn id="2" xr3:uid="{25FA8E63-561D-E74F-876C-61B172D9EE4E}" name="Employee Count" dataDxfId="2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E48C62-A933-454A-B645-DB00D266DF13}" name="Table143" displayName="Table143" ref="A1:G33" totalsRowShown="0" headerRowDxfId="14" dataDxfId="13">
  <sortState xmlns:xlrd2="http://schemas.microsoft.com/office/spreadsheetml/2017/richdata2" ref="A2:F14">
    <sortCondition ref="F1:F14"/>
  </sortState>
  <tableColumns count="7">
    <tableColumn id="6" xr3:uid="{1A7B67CA-4B5C-8F48-B27D-4A8CB82B4679}" name="Feasible" dataDxfId="12"/>
    <tableColumn id="7" xr3:uid="{013EB565-C0AB-3847-BBE0-779AC6ED6D7D}" name="B" dataDxfId="7" dataCellStyle="Normal 2"/>
    <tableColumn id="1" xr3:uid="{8A728BF7-51B0-B640-AD3A-CF5B70B73CDA}" name="D" dataDxfId="11"/>
    <tableColumn id="2" xr3:uid="{11673035-973B-DE41-B491-1E1F8159157D}" name="R" dataDxfId="10"/>
    <tableColumn id="3" xr3:uid="{FC32D99C-E536-7E42-B755-428328C04D93}" name="L" dataDxfId="9"/>
    <tableColumn id="4" xr3:uid="{54FEC4BA-D2A8-F14A-8851-301733B19A69}" name="M" dataDxfId="8"/>
    <tableColumn id="5" xr3:uid="{0BA61844-A6CB-A746-9FC3-39FF99BAFEA2}" name="INT**" dataDxfId="6">
      <calculatedColumnFormula>B2*16+C2*8+D2*4+(E2*2)+(F2*1)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81B995-3F29-E143-960A-14843254FEBE}" name="Table14" displayName="Table14" ref="A1:F17" totalsRowShown="0" headerRowDxfId="22" dataDxfId="21">
  <sortState xmlns:xlrd2="http://schemas.microsoft.com/office/spreadsheetml/2017/richdata2" ref="B2:F14">
    <sortCondition ref="F1:F14"/>
  </sortState>
  <tableColumns count="6">
    <tableColumn id="6" xr3:uid="{2DF171AD-8597-DF4E-A6AF-23AA8E112513}" name="Feasible" dataDxfId="20"/>
    <tableColumn id="1" xr3:uid="{EA3A8A5A-0938-404B-B5DB-C95AA7588322}" name="X1" dataDxfId="19"/>
    <tableColumn id="2" xr3:uid="{CD2CBEC4-2B02-934F-A596-F06E5EA10B5B}" name="X2" dataDxfId="18"/>
    <tableColumn id="3" xr3:uid="{B2AA7E11-4E92-B443-89E7-6B3271FDC828}" name="X3" dataDxfId="17"/>
    <tableColumn id="4" xr3:uid="{6428BCF9-3FC6-C14C-8BE2-237B36BAAB3C}" name="X4" dataDxfId="16"/>
    <tableColumn id="5" xr3:uid="{6315DE43-F244-474C-B4E3-4A00351B2F7D}" name="INT**" dataDxfId="15">
      <calculatedColumnFormula>B2*8+C2*4+(D2*2)+(E2*1)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B0BB-DAE3-FE4A-95C3-1833A4177E8A}">
  <dimension ref="A1:K44"/>
  <sheetViews>
    <sheetView tabSelected="1" zoomScale="200" workbookViewId="0">
      <selection activeCell="A17" sqref="A17:J17"/>
    </sheetView>
  </sheetViews>
  <sheetFormatPr baseColWidth="10" defaultRowHeight="16" x14ac:dyDescent="0.2"/>
  <cols>
    <col min="1" max="1" width="12.33203125" style="46" bestFit="1" customWidth="1"/>
    <col min="2" max="2" width="9.33203125" style="46" customWidth="1"/>
    <col min="3" max="3" width="13.33203125" style="46" bestFit="1" customWidth="1"/>
    <col min="4" max="7" width="6.1640625" style="46" bestFit="1" customWidth="1"/>
    <col min="8" max="8" width="4.6640625" style="46" bestFit="1" customWidth="1"/>
    <col min="9" max="12" width="3.1640625" style="46" bestFit="1" customWidth="1"/>
    <col min="13" max="16384" width="10.83203125" style="46"/>
  </cols>
  <sheetData>
    <row r="1" spans="1:11" x14ac:dyDescent="0.2">
      <c r="A1" s="154" t="s">
        <v>67</v>
      </c>
      <c r="B1" s="154"/>
      <c r="C1" s="154"/>
      <c r="D1" s="154"/>
      <c r="E1" s="154"/>
      <c r="F1" s="154"/>
      <c r="G1" s="154"/>
      <c r="H1" s="154"/>
    </row>
    <row r="2" spans="1:11" x14ac:dyDescent="0.2">
      <c r="B2" s="59" t="s">
        <v>31</v>
      </c>
      <c r="C2" s="60" t="s">
        <v>30</v>
      </c>
      <c r="D2" s="61" t="s">
        <v>29</v>
      </c>
      <c r="E2" s="62" t="s">
        <v>28</v>
      </c>
      <c r="F2" s="63" t="s">
        <v>27</v>
      </c>
      <c r="G2" s="64" t="s">
        <v>26</v>
      </c>
      <c r="H2" s="65" t="s">
        <v>25</v>
      </c>
    </row>
    <row r="3" spans="1:11" x14ac:dyDescent="0.2">
      <c r="B3" s="47">
        <v>14</v>
      </c>
      <c r="C3" s="47">
        <v>13</v>
      </c>
      <c r="D3" s="47">
        <v>15</v>
      </c>
      <c r="E3" s="47">
        <v>16</v>
      </c>
      <c r="F3" s="47">
        <v>19</v>
      </c>
      <c r="G3" s="47">
        <v>18</v>
      </c>
      <c r="H3" s="47">
        <v>11</v>
      </c>
    </row>
    <row r="5" spans="1:11" ht="52" customHeight="1" x14ac:dyDescent="0.2">
      <c r="A5" s="153" t="s">
        <v>66</v>
      </c>
      <c r="B5" s="153"/>
      <c r="C5" s="153"/>
      <c r="D5" s="153"/>
      <c r="E5" s="153"/>
      <c r="F5" s="153"/>
      <c r="G5" s="153"/>
      <c r="H5" s="153"/>
      <c r="I5" s="153"/>
    </row>
    <row r="7" spans="1:11" x14ac:dyDescent="0.2">
      <c r="B7" s="54" t="s">
        <v>8</v>
      </c>
      <c r="C7" s="54" t="s">
        <v>7</v>
      </c>
      <c r="D7" s="54" t="s">
        <v>6</v>
      </c>
      <c r="E7" s="54" t="s">
        <v>5</v>
      </c>
      <c r="F7" s="54" t="s">
        <v>4</v>
      </c>
      <c r="G7" s="54" t="s">
        <v>3</v>
      </c>
      <c r="H7" s="54" t="s">
        <v>2</v>
      </c>
      <c r="I7" s="161" t="s">
        <v>32</v>
      </c>
      <c r="J7" s="161"/>
      <c r="K7" s="161"/>
    </row>
    <row r="8" spans="1:11" x14ac:dyDescent="0.2">
      <c r="A8" s="55" t="s">
        <v>31</v>
      </c>
      <c r="B8" s="53">
        <v>1</v>
      </c>
      <c r="C8" s="49">
        <v>0</v>
      </c>
      <c r="D8" s="49">
        <v>0</v>
      </c>
      <c r="E8" s="53">
        <v>1</v>
      </c>
      <c r="F8" s="49">
        <v>1</v>
      </c>
      <c r="G8" s="49">
        <v>1</v>
      </c>
      <c r="H8" s="49">
        <v>1</v>
      </c>
      <c r="I8" s="66">
        <f t="shared" ref="I8:I14" si="0">B8*$C$37+C8*$C$38+D8*$C$39+E8*$C$40+F8*$C$41+G8*$C$42</f>
        <v>14</v>
      </c>
      <c r="J8" s="67" t="s">
        <v>1</v>
      </c>
      <c r="K8" s="68">
        <v>14</v>
      </c>
    </row>
    <row r="9" spans="1:11" x14ac:dyDescent="0.2">
      <c r="A9" s="55" t="s">
        <v>30</v>
      </c>
      <c r="B9" s="53">
        <v>1</v>
      </c>
      <c r="C9" s="53">
        <v>1</v>
      </c>
      <c r="D9" s="49">
        <v>0</v>
      </c>
      <c r="E9" s="49">
        <v>0</v>
      </c>
      <c r="F9" s="49">
        <v>1</v>
      </c>
      <c r="G9" s="49">
        <v>1</v>
      </c>
      <c r="H9" s="49">
        <v>1</v>
      </c>
      <c r="I9" s="69">
        <f t="shared" si="0"/>
        <v>13</v>
      </c>
      <c r="J9" s="67" t="s">
        <v>1</v>
      </c>
      <c r="K9" s="68">
        <v>13</v>
      </c>
    </row>
    <row r="10" spans="1:11" x14ac:dyDescent="0.2">
      <c r="A10" s="55" t="s">
        <v>29</v>
      </c>
      <c r="B10" s="53">
        <v>1</v>
      </c>
      <c r="C10" s="53">
        <v>1</v>
      </c>
      <c r="D10" s="53">
        <v>1</v>
      </c>
      <c r="E10" s="49">
        <v>0</v>
      </c>
      <c r="F10" s="49">
        <v>0</v>
      </c>
      <c r="G10" s="49">
        <v>1</v>
      </c>
      <c r="H10" s="49">
        <v>1</v>
      </c>
      <c r="I10" s="69">
        <f t="shared" si="0"/>
        <v>15</v>
      </c>
      <c r="J10" s="67" t="s">
        <v>1</v>
      </c>
      <c r="K10" s="68">
        <v>15</v>
      </c>
    </row>
    <row r="11" spans="1:11" x14ac:dyDescent="0.2">
      <c r="A11" s="55" t="s">
        <v>28</v>
      </c>
      <c r="B11" s="53">
        <v>1</v>
      </c>
      <c r="C11" s="53">
        <v>1</v>
      </c>
      <c r="D11" s="53">
        <v>1</v>
      </c>
      <c r="E11" s="53">
        <v>1</v>
      </c>
      <c r="F11" s="49">
        <v>0</v>
      </c>
      <c r="G11" s="49">
        <v>0</v>
      </c>
      <c r="H11" s="49">
        <v>1</v>
      </c>
      <c r="I11" s="69">
        <f t="shared" si="0"/>
        <v>16</v>
      </c>
      <c r="J11" s="67" t="s">
        <v>1</v>
      </c>
      <c r="K11" s="68">
        <v>16</v>
      </c>
    </row>
    <row r="12" spans="1:11" x14ac:dyDescent="0.2">
      <c r="A12" s="55" t="s">
        <v>27</v>
      </c>
      <c r="B12" s="53">
        <v>1</v>
      </c>
      <c r="C12" s="53">
        <v>1</v>
      </c>
      <c r="D12" s="53">
        <v>1</v>
      </c>
      <c r="E12" s="53">
        <v>1</v>
      </c>
      <c r="F12" s="49">
        <v>1</v>
      </c>
      <c r="G12" s="49">
        <v>0</v>
      </c>
      <c r="H12" s="49">
        <v>0</v>
      </c>
      <c r="I12" s="69">
        <f t="shared" si="0"/>
        <v>19</v>
      </c>
      <c r="J12" s="67" t="s">
        <v>1</v>
      </c>
      <c r="K12" s="68">
        <v>19</v>
      </c>
    </row>
    <row r="13" spans="1:11" x14ac:dyDescent="0.2">
      <c r="A13" s="55" t="s">
        <v>26</v>
      </c>
      <c r="B13" s="49">
        <v>0</v>
      </c>
      <c r="C13" s="53">
        <v>1</v>
      </c>
      <c r="D13" s="53">
        <v>1</v>
      </c>
      <c r="E13" s="53">
        <v>1</v>
      </c>
      <c r="F13" s="49">
        <v>1</v>
      </c>
      <c r="G13" s="49">
        <v>1</v>
      </c>
      <c r="H13" s="49">
        <v>0</v>
      </c>
      <c r="I13" s="69">
        <f t="shared" si="0"/>
        <v>18</v>
      </c>
      <c r="J13" s="67" t="s">
        <v>1</v>
      </c>
      <c r="K13" s="68">
        <v>18</v>
      </c>
    </row>
    <row r="14" spans="1:11" ht="17" thickBot="1" x14ac:dyDescent="0.25">
      <c r="A14" s="55" t="s">
        <v>25</v>
      </c>
      <c r="B14" s="49">
        <v>0</v>
      </c>
      <c r="C14" s="49">
        <v>0</v>
      </c>
      <c r="D14" s="53">
        <v>1</v>
      </c>
      <c r="E14" s="53">
        <v>1</v>
      </c>
      <c r="F14" s="49">
        <v>1</v>
      </c>
      <c r="G14" s="49">
        <v>1</v>
      </c>
      <c r="H14" s="49">
        <v>1</v>
      </c>
      <c r="I14" s="70">
        <f t="shared" si="0"/>
        <v>15</v>
      </c>
      <c r="J14" s="71" t="s">
        <v>1</v>
      </c>
      <c r="K14" s="72">
        <v>11</v>
      </c>
    </row>
    <row r="15" spans="1:11" x14ac:dyDescent="0.2">
      <c r="A15" s="48"/>
      <c r="B15" s="46">
        <f t="shared" ref="B15:H15" si="1">SUM(B8:B14)</f>
        <v>5</v>
      </c>
      <c r="C15" s="46">
        <f t="shared" si="1"/>
        <v>5</v>
      </c>
      <c r="D15" s="46">
        <f t="shared" si="1"/>
        <v>5</v>
      </c>
      <c r="E15" s="46">
        <f t="shared" si="1"/>
        <v>5</v>
      </c>
      <c r="F15" s="46">
        <f t="shared" si="1"/>
        <v>5</v>
      </c>
      <c r="G15" s="46">
        <f t="shared" si="1"/>
        <v>5</v>
      </c>
      <c r="H15" s="46">
        <f t="shared" si="1"/>
        <v>5</v>
      </c>
    </row>
    <row r="16" spans="1:11" ht="17" thickBot="1" x14ac:dyDescent="0.25"/>
    <row r="17" spans="1:10" ht="17" thickBot="1" x14ac:dyDescent="0.25">
      <c r="A17" s="158" t="s">
        <v>68</v>
      </c>
      <c r="B17" s="159"/>
      <c r="C17" s="159"/>
      <c r="D17" s="159"/>
      <c r="E17" s="159"/>
      <c r="F17" s="159"/>
      <c r="G17" s="159"/>
      <c r="H17" s="159"/>
      <c r="I17" s="159"/>
      <c r="J17" s="160"/>
    </row>
    <row r="18" spans="1:10" ht="17" thickBot="1" x14ac:dyDescent="0.25"/>
    <row r="19" spans="1:10" ht="17" thickBot="1" x14ac:dyDescent="0.25">
      <c r="A19" s="155" t="s">
        <v>24</v>
      </c>
      <c r="B19" s="156"/>
      <c r="C19" s="156"/>
      <c r="D19" s="156"/>
      <c r="E19" s="156"/>
      <c r="F19" s="156"/>
      <c r="G19" s="156"/>
      <c r="H19" s="156"/>
      <c r="I19" s="156"/>
      <c r="J19" s="157"/>
    </row>
    <row r="20" spans="1:10" x14ac:dyDescent="0.2">
      <c r="A20" s="50" t="s">
        <v>23</v>
      </c>
      <c r="B20" s="8"/>
      <c r="C20" s="8"/>
      <c r="D20" s="8"/>
      <c r="E20" s="8"/>
      <c r="F20" s="8"/>
      <c r="G20" s="8"/>
      <c r="H20" s="8" t="s">
        <v>8</v>
      </c>
      <c r="I20" s="8" t="s">
        <v>1</v>
      </c>
      <c r="J20" s="7">
        <v>0</v>
      </c>
    </row>
    <row r="21" spans="1:10" x14ac:dyDescent="0.2">
      <c r="A21" s="50" t="s">
        <v>22</v>
      </c>
      <c r="B21" s="5"/>
      <c r="C21" s="5"/>
      <c r="D21" s="5"/>
      <c r="E21" s="5"/>
      <c r="F21" s="5"/>
      <c r="G21" s="5"/>
      <c r="H21" s="5" t="s">
        <v>7</v>
      </c>
      <c r="I21" s="5" t="s">
        <v>1</v>
      </c>
      <c r="J21" s="4">
        <v>0</v>
      </c>
    </row>
    <row r="22" spans="1:10" x14ac:dyDescent="0.2">
      <c r="A22" s="50" t="s">
        <v>21</v>
      </c>
      <c r="B22" s="5"/>
      <c r="C22" s="5"/>
      <c r="D22" s="5"/>
      <c r="E22" s="5"/>
      <c r="F22" s="5"/>
      <c r="G22" s="5"/>
      <c r="H22" s="5" t="s">
        <v>6</v>
      </c>
      <c r="I22" s="5" t="s">
        <v>1</v>
      </c>
      <c r="J22" s="4">
        <v>0</v>
      </c>
    </row>
    <row r="23" spans="1:10" x14ac:dyDescent="0.2">
      <c r="A23" s="50" t="s">
        <v>20</v>
      </c>
      <c r="B23" s="5"/>
      <c r="C23" s="5"/>
      <c r="D23" s="5"/>
      <c r="E23" s="5"/>
      <c r="F23" s="5"/>
      <c r="G23" s="5"/>
      <c r="H23" s="5" t="s">
        <v>5</v>
      </c>
      <c r="I23" s="5" t="s">
        <v>1</v>
      </c>
      <c r="J23" s="4">
        <v>0</v>
      </c>
    </row>
    <row r="24" spans="1:10" x14ac:dyDescent="0.2">
      <c r="A24" s="50" t="s">
        <v>19</v>
      </c>
      <c r="B24" s="5"/>
      <c r="C24" s="5"/>
      <c r="D24" s="5"/>
      <c r="E24" s="5"/>
      <c r="F24" s="5"/>
      <c r="G24" s="5"/>
      <c r="H24" s="5" t="s">
        <v>4</v>
      </c>
      <c r="I24" s="5" t="s">
        <v>1</v>
      </c>
      <c r="J24" s="4">
        <v>0</v>
      </c>
    </row>
    <row r="25" spans="1:10" x14ac:dyDescent="0.2">
      <c r="A25" s="50" t="s">
        <v>18</v>
      </c>
      <c r="B25" s="5"/>
      <c r="C25" s="5"/>
      <c r="D25" s="5"/>
      <c r="E25" s="5"/>
      <c r="F25" s="5"/>
      <c r="G25" s="5"/>
      <c r="H25" s="5" t="s">
        <v>3</v>
      </c>
      <c r="I25" s="5" t="s">
        <v>1</v>
      </c>
      <c r="J25" s="4">
        <v>0</v>
      </c>
    </row>
    <row r="26" spans="1:10" x14ac:dyDescent="0.2">
      <c r="A26" s="50" t="s">
        <v>17</v>
      </c>
      <c r="B26" s="5"/>
      <c r="C26" s="5"/>
      <c r="D26" s="5"/>
      <c r="E26" s="5"/>
      <c r="F26" s="5"/>
      <c r="G26" s="5"/>
      <c r="H26" s="5" t="s">
        <v>2</v>
      </c>
      <c r="I26" s="5" t="s">
        <v>1</v>
      </c>
      <c r="J26" s="4">
        <v>0</v>
      </c>
    </row>
    <row r="27" spans="1:10" x14ac:dyDescent="0.2">
      <c r="A27" s="50" t="s">
        <v>16</v>
      </c>
      <c r="B27" s="5" t="str">
        <f t="shared" ref="B27:B33" si="2">B8 &amp; "." &amp; $B$7 &amp; " +"</f>
        <v>1.X1 +</v>
      </c>
      <c r="C27" s="5" t="str">
        <f t="shared" ref="C27:C33" si="3">C8 &amp; "." &amp; $C$7 &amp; " +"</f>
        <v>0.X2 +</v>
      </c>
      <c r="D27" s="5" t="str">
        <f t="shared" ref="D27:D33" si="4">D8 &amp; "." &amp; $D$7 &amp; " +"</f>
        <v>0.X3 +</v>
      </c>
      <c r="E27" s="5" t="str">
        <f t="shared" ref="E27:E33" si="5">E8 &amp; "." &amp; $E$7 &amp; " +"</f>
        <v>1.X4 +</v>
      </c>
      <c r="F27" s="5" t="str">
        <f t="shared" ref="F27:F33" si="6">F8 &amp; "." &amp; $F$7 &amp; " +"</f>
        <v>1.X5 +</v>
      </c>
      <c r="G27" s="5" t="str">
        <f t="shared" ref="G27:G33" si="7">G8 &amp; "." &amp; $G$7 &amp; " +"</f>
        <v>1.X6 +</v>
      </c>
      <c r="H27" s="5" t="str">
        <f t="shared" ref="H27:H33" si="8">H8 &amp; "." &amp; $H$7</f>
        <v>1.X7</v>
      </c>
      <c r="I27" s="5" t="s">
        <v>1</v>
      </c>
      <c r="J27" s="4">
        <v>14</v>
      </c>
    </row>
    <row r="28" spans="1:10" x14ac:dyDescent="0.2">
      <c r="A28" s="50" t="s">
        <v>15</v>
      </c>
      <c r="B28" s="5" t="str">
        <f t="shared" si="2"/>
        <v>1.X1 +</v>
      </c>
      <c r="C28" s="5" t="str">
        <f t="shared" si="3"/>
        <v>1.X2 +</v>
      </c>
      <c r="D28" s="5" t="str">
        <f t="shared" si="4"/>
        <v>0.X3 +</v>
      </c>
      <c r="E28" s="5" t="str">
        <f t="shared" si="5"/>
        <v>0.X4 +</v>
      </c>
      <c r="F28" s="5" t="str">
        <f t="shared" si="6"/>
        <v>1.X5 +</v>
      </c>
      <c r="G28" s="5" t="str">
        <f t="shared" si="7"/>
        <v>1.X6 +</v>
      </c>
      <c r="H28" s="5" t="str">
        <f t="shared" si="8"/>
        <v>1.X7</v>
      </c>
      <c r="I28" s="5" t="s">
        <v>1</v>
      </c>
      <c r="J28" s="4">
        <v>13</v>
      </c>
    </row>
    <row r="29" spans="1:10" x14ac:dyDescent="0.2">
      <c r="A29" s="50" t="s">
        <v>14</v>
      </c>
      <c r="B29" s="5" t="str">
        <f t="shared" si="2"/>
        <v>1.X1 +</v>
      </c>
      <c r="C29" s="5" t="str">
        <f t="shared" si="3"/>
        <v>1.X2 +</v>
      </c>
      <c r="D29" s="5" t="str">
        <f t="shared" si="4"/>
        <v>1.X3 +</v>
      </c>
      <c r="E29" s="5" t="str">
        <f t="shared" si="5"/>
        <v>0.X4 +</v>
      </c>
      <c r="F29" s="5" t="str">
        <f t="shared" si="6"/>
        <v>0.X5 +</v>
      </c>
      <c r="G29" s="5" t="str">
        <f t="shared" si="7"/>
        <v>1.X6 +</v>
      </c>
      <c r="H29" s="5" t="str">
        <f t="shared" si="8"/>
        <v>1.X7</v>
      </c>
      <c r="I29" s="5" t="s">
        <v>1</v>
      </c>
      <c r="J29" s="4">
        <v>14</v>
      </c>
    </row>
    <row r="30" spans="1:10" x14ac:dyDescent="0.2">
      <c r="A30" s="50" t="s">
        <v>13</v>
      </c>
      <c r="B30" s="5" t="str">
        <f t="shared" si="2"/>
        <v>1.X1 +</v>
      </c>
      <c r="C30" s="5" t="str">
        <f t="shared" si="3"/>
        <v>1.X2 +</v>
      </c>
      <c r="D30" s="5" t="str">
        <f t="shared" si="4"/>
        <v>1.X3 +</v>
      </c>
      <c r="E30" s="5" t="str">
        <f t="shared" si="5"/>
        <v>1.X4 +</v>
      </c>
      <c r="F30" s="5" t="str">
        <f t="shared" si="6"/>
        <v>0.X5 +</v>
      </c>
      <c r="G30" s="5" t="str">
        <f t="shared" si="7"/>
        <v>0.X6 +</v>
      </c>
      <c r="H30" s="5" t="str">
        <f t="shared" si="8"/>
        <v>1.X7</v>
      </c>
      <c r="I30" s="5" t="s">
        <v>1</v>
      </c>
      <c r="J30" s="4">
        <v>16</v>
      </c>
    </row>
    <row r="31" spans="1:10" x14ac:dyDescent="0.2">
      <c r="A31" s="50" t="s">
        <v>12</v>
      </c>
      <c r="B31" s="5" t="str">
        <f t="shared" si="2"/>
        <v>1.X1 +</v>
      </c>
      <c r="C31" s="5" t="str">
        <f t="shared" si="3"/>
        <v>1.X2 +</v>
      </c>
      <c r="D31" s="5" t="str">
        <f t="shared" si="4"/>
        <v>1.X3 +</v>
      </c>
      <c r="E31" s="5" t="str">
        <f t="shared" si="5"/>
        <v>1.X4 +</v>
      </c>
      <c r="F31" s="5" t="str">
        <f t="shared" si="6"/>
        <v>1.X5 +</v>
      </c>
      <c r="G31" s="5" t="str">
        <f t="shared" si="7"/>
        <v>0.X6 +</v>
      </c>
      <c r="H31" s="5" t="str">
        <f t="shared" si="8"/>
        <v>0.X7</v>
      </c>
      <c r="I31" s="5" t="s">
        <v>1</v>
      </c>
      <c r="J31" s="4">
        <v>19</v>
      </c>
    </row>
    <row r="32" spans="1:10" x14ac:dyDescent="0.2">
      <c r="A32" s="50" t="s">
        <v>11</v>
      </c>
      <c r="B32" s="5" t="str">
        <f t="shared" si="2"/>
        <v>0.X1 +</v>
      </c>
      <c r="C32" s="5" t="str">
        <f t="shared" si="3"/>
        <v>1.X2 +</v>
      </c>
      <c r="D32" s="5" t="str">
        <f t="shared" si="4"/>
        <v>1.X3 +</v>
      </c>
      <c r="E32" s="5" t="str">
        <f t="shared" si="5"/>
        <v>1.X4 +</v>
      </c>
      <c r="F32" s="5" t="str">
        <f t="shared" si="6"/>
        <v>1.X5 +</v>
      </c>
      <c r="G32" s="5" t="str">
        <f t="shared" si="7"/>
        <v>1.X6 +</v>
      </c>
      <c r="H32" s="5" t="str">
        <f t="shared" si="8"/>
        <v>0.X7</v>
      </c>
      <c r="I32" s="5" t="s">
        <v>1</v>
      </c>
      <c r="J32" s="4">
        <v>18</v>
      </c>
    </row>
    <row r="33" spans="1:10" ht="17" thickBot="1" x14ac:dyDescent="0.25">
      <c r="A33" s="51" t="s">
        <v>10</v>
      </c>
      <c r="B33" s="2" t="str">
        <f t="shared" si="2"/>
        <v>0.X1 +</v>
      </c>
      <c r="C33" s="2" t="str">
        <f t="shared" si="3"/>
        <v>0.X2 +</v>
      </c>
      <c r="D33" s="2" t="str">
        <f t="shared" si="4"/>
        <v>1.X3 +</v>
      </c>
      <c r="E33" s="2" t="str">
        <f t="shared" si="5"/>
        <v>1.X4 +</v>
      </c>
      <c r="F33" s="2" t="str">
        <f t="shared" si="6"/>
        <v>1.X5 +</v>
      </c>
      <c r="G33" s="2" t="str">
        <f t="shared" si="7"/>
        <v>1.X6 +</v>
      </c>
      <c r="H33" s="2" t="str">
        <f t="shared" si="8"/>
        <v>1.X7</v>
      </c>
      <c r="I33" s="2" t="s">
        <v>1</v>
      </c>
      <c r="J33" s="1">
        <v>11</v>
      </c>
    </row>
    <row r="35" spans="1:10" x14ac:dyDescent="0.2">
      <c r="A35" s="46" t="s">
        <v>9</v>
      </c>
    </row>
    <row r="36" spans="1:10" ht="34" x14ac:dyDescent="0.2">
      <c r="B36" s="56" t="s">
        <v>63</v>
      </c>
      <c r="C36" s="58" t="s">
        <v>64</v>
      </c>
    </row>
    <row r="37" spans="1:10" x14ac:dyDescent="0.2">
      <c r="B37" s="46" t="s">
        <v>8</v>
      </c>
      <c r="C37" s="52">
        <v>4</v>
      </c>
    </row>
    <row r="38" spans="1:10" x14ac:dyDescent="0.2">
      <c r="B38" s="46" t="s">
        <v>7</v>
      </c>
      <c r="C38" s="52">
        <v>3</v>
      </c>
    </row>
    <row r="39" spans="1:10" x14ac:dyDescent="0.2">
      <c r="B39" s="46" t="s">
        <v>6</v>
      </c>
      <c r="C39" s="52">
        <v>5</v>
      </c>
    </row>
    <row r="40" spans="1:10" x14ac:dyDescent="0.2">
      <c r="B40" s="46" t="s">
        <v>5</v>
      </c>
      <c r="C40" s="52">
        <v>4</v>
      </c>
    </row>
    <row r="41" spans="1:10" x14ac:dyDescent="0.2">
      <c r="B41" s="46" t="s">
        <v>4</v>
      </c>
      <c r="C41" s="52">
        <v>3</v>
      </c>
    </row>
    <row r="42" spans="1:10" x14ac:dyDescent="0.2">
      <c r="B42" s="46" t="s">
        <v>3</v>
      </c>
      <c r="C42" s="52">
        <v>3</v>
      </c>
    </row>
    <row r="43" spans="1:10" x14ac:dyDescent="0.2">
      <c r="B43" s="46" t="s">
        <v>2</v>
      </c>
      <c r="C43" s="52">
        <v>0</v>
      </c>
    </row>
    <row r="44" spans="1:10" x14ac:dyDescent="0.2">
      <c r="B44" s="57" t="s">
        <v>65</v>
      </c>
      <c r="C44" s="52">
        <f>SUM(C37:C43)</f>
        <v>22</v>
      </c>
    </row>
  </sheetData>
  <mergeCells count="5">
    <mergeCell ref="A5:I5"/>
    <mergeCell ref="A1:H1"/>
    <mergeCell ref="A19:J19"/>
    <mergeCell ref="A17:J17"/>
    <mergeCell ref="I7:K7"/>
  </mergeCells>
  <conditionalFormatting sqref="B8:H14">
    <cfRule type="cellIs" dxfId="5" priority="1" operator="equal">
      <formula>1</formula>
    </cfRule>
    <cfRule type="cellIs" dxfId="4" priority="2" operator="equal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0661-810D-B14A-8265-2CBF2C0EEEF3}">
  <dimension ref="B1:P21"/>
  <sheetViews>
    <sheetView zoomScale="150" workbookViewId="0">
      <selection activeCell="N3" sqref="N3"/>
    </sheetView>
  </sheetViews>
  <sheetFormatPr baseColWidth="10" defaultColWidth="13.1640625" defaultRowHeight="16" x14ac:dyDescent="0.2"/>
  <cols>
    <col min="2" max="2" width="3" bestFit="1" customWidth="1"/>
    <col min="3" max="6" width="3.6640625" bestFit="1" customWidth="1"/>
    <col min="7" max="7" width="5.1640625" bestFit="1" customWidth="1"/>
    <col min="8" max="8" width="3.6640625" bestFit="1" customWidth="1"/>
    <col min="10" max="10" width="5.1640625" bestFit="1" customWidth="1"/>
    <col min="11" max="11" width="2.1640625" customWidth="1"/>
    <col min="12" max="12" width="12.83203125" style="11" bestFit="1" customWidth="1"/>
    <col min="14" max="14" width="33.1640625" bestFit="1" customWidth="1"/>
    <col min="15" max="15" width="12.83203125" bestFit="1" customWidth="1"/>
    <col min="16" max="16" width="12.83203125" style="11" bestFit="1" customWidth="1"/>
  </cols>
  <sheetData>
    <row r="1" spans="2:16" ht="17" thickBot="1" x14ac:dyDescent="0.25">
      <c r="I1" s="17"/>
    </row>
    <row r="2" spans="2:16" ht="18" thickBot="1" x14ac:dyDescent="0.25">
      <c r="B2" s="162" t="s">
        <v>58</v>
      </c>
      <c r="C2" s="163"/>
      <c r="D2" s="163"/>
      <c r="E2" s="163"/>
      <c r="F2" s="163"/>
      <c r="G2" s="163"/>
      <c r="H2" s="164"/>
      <c r="I2" s="28"/>
      <c r="J2" s="168" t="s">
        <v>59</v>
      </c>
      <c r="K2" s="169"/>
      <c r="L2" s="170"/>
      <c r="N2" s="36" t="s">
        <v>62</v>
      </c>
      <c r="O2" s="37" t="s">
        <v>60</v>
      </c>
    </row>
    <row r="3" spans="2:16" ht="12" customHeight="1" thickBot="1" x14ac:dyDescent="0.25">
      <c r="B3" s="165"/>
      <c r="C3" s="166"/>
      <c r="D3" s="166"/>
      <c r="E3" s="166"/>
      <c r="F3" s="166"/>
      <c r="G3" s="166"/>
      <c r="H3" s="167"/>
      <c r="I3" s="28"/>
      <c r="J3" s="171"/>
      <c r="K3" s="172"/>
      <c r="L3" s="173"/>
      <c r="N3" s="34" t="s">
        <v>61</v>
      </c>
      <c r="O3" s="35">
        <f>1.05*L9+1.11*L13+1.18*L16</f>
        <v>1387680.0000000005</v>
      </c>
    </row>
    <row r="4" spans="2:16" ht="17" thickBot="1" x14ac:dyDescent="0.25">
      <c r="B4" s="13"/>
      <c r="C4" s="38" t="s">
        <v>38</v>
      </c>
      <c r="D4" s="39" t="s">
        <v>39</v>
      </c>
      <c r="E4" s="39" t="s">
        <v>40</v>
      </c>
      <c r="F4" s="39" t="s">
        <v>41</v>
      </c>
      <c r="G4" s="39" t="s">
        <v>42</v>
      </c>
      <c r="H4" s="40" t="s">
        <v>43</v>
      </c>
      <c r="J4" s="6" t="s">
        <v>8</v>
      </c>
      <c r="K4" s="29" t="s">
        <v>49</v>
      </c>
      <c r="L4" s="30">
        <v>1.1641532182693481E-10</v>
      </c>
      <c r="O4" s="33"/>
    </row>
    <row r="5" spans="2:16" ht="17" thickBot="1" x14ac:dyDescent="0.25">
      <c r="B5" s="13"/>
      <c r="C5" s="174" t="s">
        <v>37</v>
      </c>
      <c r="D5" s="175"/>
      <c r="E5" s="175"/>
      <c r="F5" s="175"/>
      <c r="G5" s="175"/>
      <c r="H5" s="176"/>
      <c r="J5" s="6" t="s">
        <v>7</v>
      </c>
      <c r="K5" s="29" t="s">
        <v>49</v>
      </c>
      <c r="L5" s="30">
        <v>0</v>
      </c>
      <c r="N5" s="185" t="s">
        <v>24</v>
      </c>
      <c r="O5" s="186"/>
      <c r="P5" s="187"/>
    </row>
    <row r="6" spans="2:16" ht="17" thickBot="1" x14ac:dyDescent="0.25">
      <c r="B6" s="26" t="s">
        <v>33</v>
      </c>
      <c r="C6" s="21" t="s">
        <v>8</v>
      </c>
      <c r="D6" s="22" t="s">
        <v>7</v>
      </c>
      <c r="E6" s="22" t="s">
        <v>6</v>
      </c>
      <c r="F6" s="22" t="s">
        <v>5</v>
      </c>
      <c r="G6" s="22" t="s">
        <v>4</v>
      </c>
      <c r="H6" s="23" t="s">
        <v>3</v>
      </c>
      <c r="J6" s="6" t="s">
        <v>6</v>
      </c>
      <c r="K6" s="29" t="s">
        <v>49</v>
      </c>
      <c r="L6" s="30">
        <v>1120000</v>
      </c>
      <c r="N6" s="188"/>
      <c r="O6" s="189"/>
      <c r="P6" s="190"/>
    </row>
    <row r="7" spans="2:16" x14ac:dyDescent="0.2">
      <c r="B7" s="191" t="s">
        <v>34</v>
      </c>
      <c r="C7" s="177" t="s">
        <v>45</v>
      </c>
      <c r="D7" s="178"/>
      <c r="E7" s="14"/>
      <c r="F7" s="178" t="s">
        <v>44</v>
      </c>
      <c r="G7" s="179"/>
      <c r="H7" s="15"/>
      <c r="J7" s="6" t="s">
        <v>5</v>
      </c>
      <c r="K7" s="29" t="s">
        <v>49</v>
      </c>
      <c r="L7" s="30">
        <v>0</v>
      </c>
      <c r="N7" s="73" t="s">
        <v>48</v>
      </c>
      <c r="O7" s="42" t="s">
        <v>49</v>
      </c>
      <c r="P7" s="43">
        <f>L4+L10+L17</f>
        <v>999999.99999999977</v>
      </c>
    </row>
    <row r="8" spans="2:16" x14ac:dyDescent="0.2">
      <c r="B8" s="192"/>
      <c r="C8" s="24"/>
      <c r="D8" s="179" t="s">
        <v>47</v>
      </c>
      <c r="E8" s="178"/>
      <c r="F8" s="16"/>
      <c r="G8" s="183" t="s">
        <v>50</v>
      </c>
      <c r="H8" s="184"/>
      <c r="J8" s="6" t="s">
        <v>4</v>
      </c>
      <c r="K8" s="29" t="s">
        <v>49</v>
      </c>
      <c r="L8" s="30">
        <v>0</v>
      </c>
      <c r="N8" s="74" t="s">
        <v>53</v>
      </c>
      <c r="O8" s="29" t="s">
        <v>49</v>
      </c>
      <c r="P8" s="30">
        <f>L5+L11+L14-1.05*L4</f>
        <v>-1.2223608791828156E-10</v>
      </c>
    </row>
    <row r="9" spans="2:16" x14ac:dyDescent="0.2">
      <c r="B9" s="191" t="s">
        <v>35</v>
      </c>
      <c r="C9" s="25"/>
      <c r="D9" s="196" t="s">
        <v>46</v>
      </c>
      <c r="E9" s="193"/>
      <c r="F9" s="194"/>
      <c r="G9" s="14"/>
      <c r="H9" s="15"/>
      <c r="J9" s="6" t="s">
        <v>3</v>
      </c>
      <c r="K9" s="29" t="s">
        <v>49</v>
      </c>
      <c r="L9" s="30">
        <v>2.3283064365386963E-10</v>
      </c>
      <c r="N9" s="74" t="s">
        <v>54</v>
      </c>
      <c r="O9" s="29" t="s">
        <v>49</v>
      </c>
      <c r="P9" s="30">
        <f>L6+L15-1.05*L5-1.12*L10</f>
        <v>0</v>
      </c>
    </row>
    <row r="10" spans="2:16" x14ac:dyDescent="0.2">
      <c r="B10" s="195"/>
      <c r="C10" s="25"/>
      <c r="D10" s="17"/>
      <c r="E10" s="193" t="s">
        <v>51</v>
      </c>
      <c r="F10" s="193"/>
      <c r="G10" s="194"/>
      <c r="H10" s="15"/>
      <c r="J10" s="6" t="s">
        <v>45</v>
      </c>
      <c r="K10" s="29" t="s">
        <v>49</v>
      </c>
      <c r="L10" s="30">
        <v>999999.99999999965</v>
      </c>
      <c r="N10" s="74" t="s">
        <v>55</v>
      </c>
      <c r="O10" s="29" t="s">
        <v>49</v>
      </c>
      <c r="P10" s="30">
        <f>L7+L12+L16-1.05*L6-1.11*L11</f>
        <v>2.3283064365386963E-10</v>
      </c>
    </row>
    <row r="11" spans="2:16" x14ac:dyDescent="0.2">
      <c r="B11" s="192"/>
      <c r="C11" s="25"/>
      <c r="D11" s="17"/>
      <c r="E11" s="17"/>
      <c r="F11" s="12"/>
      <c r="G11" s="12" t="s">
        <v>52</v>
      </c>
      <c r="H11" s="18"/>
      <c r="J11" s="6" t="s">
        <v>47</v>
      </c>
      <c r="K11" s="29" t="s">
        <v>49</v>
      </c>
      <c r="L11" s="30">
        <v>0</v>
      </c>
      <c r="N11" s="74" t="s">
        <v>56</v>
      </c>
      <c r="O11" s="29" t="s">
        <v>49</v>
      </c>
      <c r="P11" s="30">
        <f>L8+L13-1.05*L7-1.18*L14-1.24*L17</f>
        <v>0</v>
      </c>
    </row>
    <row r="12" spans="2:16" ht="17" thickBot="1" x14ac:dyDescent="0.25">
      <c r="B12" s="27" t="s">
        <v>36</v>
      </c>
      <c r="C12" s="180" t="s">
        <v>36</v>
      </c>
      <c r="D12" s="181"/>
      <c r="E12" s="181"/>
      <c r="F12" s="182"/>
      <c r="G12" s="19"/>
      <c r="H12" s="20"/>
      <c r="J12" s="6" t="s">
        <v>44</v>
      </c>
      <c r="K12" s="29" t="s">
        <v>49</v>
      </c>
      <c r="L12" s="30">
        <v>0</v>
      </c>
      <c r="N12" s="74" t="s">
        <v>57</v>
      </c>
      <c r="O12" s="29" t="s">
        <v>49</v>
      </c>
      <c r="P12" s="30">
        <f>L9-1.05*L8-1.11*L12-1.18*L15</f>
        <v>2.3283064365386963E-10</v>
      </c>
    </row>
    <row r="13" spans="2:16" ht="17" thickBot="1" x14ac:dyDescent="0.25">
      <c r="C13" s="11"/>
      <c r="D13" s="11"/>
      <c r="E13" s="11"/>
      <c r="F13" s="11"/>
      <c r="G13" s="11"/>
      <c r="H13" s="11"/>
      <c r="I13" s="11"/>
      <c r="J13" s="6" t="s">
        <v>50</v>
      </c>
      <c r="K13" s="29" t="s">
        <v>49</v>
      </c>
      <c r="L13" s="30">
        <v>0</v>
      </c>
      <c r="N13" s="44"/>
      <c r="O13" s="45"/>
      <c r="P13" s="75"/>
    </row>
    <row r="14" spans="2:16" x14ac:dyDescent="0.2">
      <c r="J14" s="6" t="s">
        <v>46</v>
      </c>
      <c r="K14" s="29" t="s">
        <v>49</v>
      </c>
      <c r="L14" s="30">
        <v>0</v>
      </c>
    </row>
    <row r="15" spans="2:16" x14ac:dyDescent="0.2">
      <c r="J15" s="6" t="s">
        <v>51</v>
      </c>
      <c r="K15" s="29" t="s">
        <v>49</v>
      </c>
      <c r="L15" s="30">
        <v>0</v>
      </c>
    </row>
    <row r="16" spans="2:16" x14ac:dyDescent="0.2">
      <c r="J16" s="6" t="s">
        <v>52</v>
      </c>
      <c r="K16" s="29" t="s">
        <v>49</v>
      </c>
      <c r="L16" s="30">
        <v>1176000.0000000002</v>
      </c>
    </row>
    <row r="17" spans="10:12" ht="17" thickBot="1" x14ac:dyDescent="0.25">
      <c r="J17" s="3" t="s">
        <v>36</v>
      </c>
      <c r="K17" s="31" t="s">
        <v>49</v>
      </c>
      <c r="L17" s="32">
        <v>0</v>
      </c>
    </row>
    <row r="21" spans="10:12" ht="22" customHeight="1" x14ac:dyDescent="0.2"/>
  </sheetData>
  <mergeCells count="13">
    <mergeCell ref="C12:F12"/>
    <mergeCell ref="D8:E8"/>
    <mergeCell ref="G8:H8"/>
    <mergeCell ref="N5:P6"/>
    <mergeCell ref="B7:B8"/>
    <mergeCell ref="E10:G10"/>
    <mergeCell ref="B9:B11"/>
    <mergeCell ref="D9:F9"/>
    <mergeCell ref="B2:H3"/>
    <mergeCell ref="J2:L3"/>
    <mergeCell ref="C5:H5"/>
    <mergeCell ref="C7:D7"/>
    <mergeCell ref="F7:G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D58B-EFFB-C34B-A94C-3AF991BD4676}">
  <dimension ref="A1:J57"/>
  <sheetViews>
    <sheetView topLeftCell="A28" zoomScale="215" workbookViewId="0">
      <selection activeCell="D35" sqref="D35"/>
    </sheetView>
  </sheetViews>
  <sheetFormatPr baseColWidth="10" defaultRowHeight="16" x14ac:dyDescent="0.2"/>
  <cols>
    <col min="2" max="2" width="24.1640625" bestFit="1" customWidth="1"/>
    <col min="3" max="3" width="12.6640625" bestFit="1" customWidth="1"/>
    <col min="4" max="4" width="10.83203125" bestFit="1" customWidth="1"/>
    <col min="5" max="5" width="13.1640625" customWidth="1"/>
    <col min="6" max="6" width="9.33203125" bestFit="1" customWidth="1"/>
    <col min="7" max="7" width="8.5" customWidth="1"/>
    <col min="8" max="8" width="16.33203125" bestFit="1" customWidth="1"/>
  </cols>
  <sheetData>
    <row r="1" spans="2:8" ht="17" thickBot="1" x14ac:dyDescent="0.25"/>
    <row r="2" spans="2:8" ht="33" customHeight="1" thickBot="1" x14ac:dyDescent="0.25">
      <c r="B2" s="236" t="s">
        <v>128</v>
      </c>
      <c r="C2" s="237"/>
      <c r="D2" s="238">
        <v>20000</v>
      </c>
    </row>
    <row r="3" spans="2:8" ht="33" customHeight="1" thickBot="1" x14ac:dyDescent="0.25">
      <c r="B3" s="277"/>
      <c r="C3" s="277"/>
      <c r="D3" s="278"/>
    </row>
    <row r="4" spans="2:8" ht="17" thickBot="1" x14ac:dyDescent="0.25">
      <c r="B4" s="280" t="s">
        <v>144</v>
      </c>
      <c r="C4" s="281"/>
      <c r="D4" s="281"/>
      <c r="E4" s="281"/>
      <c r="F4" s="281"/>
      <c r="G4" s="282"/>
    </row>
    <row r="5" spans="2:8" x14ac:dyDescent="0.2">
      <c r="B5" s="239" t="s">
        <v>69</v>
      </c>
      <c r="C5" s="240" t="s">
        <v>137</v>
      </c>
      <c r="D5" s="240" t="s">
        <v>70</v>
      </c>
      <c r="E5" s="240" t="s">
        <v>71</v>
      </c>
      <c r="F5" s="240" t="s">
        <v>72</v>
      </c>
      <c r="G5" s="241" t="s">
        <v>73</v>
      </c>
    </row>
    <row r="6" spans="2:8" x14ac:dyDescent="0.2">
      <c r="B6" s="250" t="s">
        <v>132</v>
      </c>
      <c r="C6" s="251">
        <v>1000</v>
      </c>
      <c r="D6" s="251">
        <v>1500</v>
      </c>
      <c r="E6" s="251">
        <v>2000</v>
      </c>
      <c r="F6" s="251">
        <f>D6-E6</f>
        <v>-500</v>
      </c>
      <c r="G6" s="252">
        <f t="shared" ref="G6:G7" si="0">MIN(1000,F6+C6)</f>
        <v>500</v>
      </c>
    </row>
    <row r="7" spans="2:8" x14ac:dyDescent="0.2">
      <c r="B7" s="253" t="s">
        <v>133</v>
      </c>
      <c r="C7" s="242">
        <v>1000</v>
      </c>
      <c r="D7" s="242">
        <v>1500</v>
      </c>
      <c r="E7" s="242">
        <v>4000</v>
      </c>
      <c r="F7" s="242">
        <f>D7-E7</f>
        <v>-2500</v>
      </c>
      <c r="G7" s="254">
        <f t="shared" si="0"/>
        <v>-1500</v>
      </c>
    </row>
    <row r="8" spans="2:8" x14ac:dyDescent="0.2">
      <c r="B8" s="255" t="s">
        <v>134</v>
      </c>
      <c r="C8" s="256">
        <v>1000</v>
      </c>
      <c r="D8" s="256">
        <v>1500</v>
      </c>
      <c r="E8" s="256">
        <v>1200</v>
      </c>
      <c r="F8" s="256">
        <f>D8-E8</f>
        <v>300</v>
      </c>
      <c r="G8" s="257">
        <f>MIN(1000,F8+C8)</f>
        <v>1000</v>
      </c>
    </row>
    <row r="9" spans="2:8" x14ac:dyDescent="0.2">
      <c r="B9" s="258" t="s">
        <v>129</v>
      </c>
      <c r="C9" s="259">
        <v>1000</v>
      </c>
      <c r="D9" s="259">
        <v>1500</v>
      </c>
      <c r="E9" s="259">
        <v>2000</v>
      </c>
      <c r="F9" s="259">
        <f t="shared" ref="F9:F15" si="1">E9-D9</f>
        <v>500</v>
      </c>
      <c r="G9" s="260">
        <f t="shared" ref="G9:G10" si="2">MAX(0,F9)-C9</f>
        <v>-500</v>
      </c>
    </row>
    <row r="10" spans="2:8" x14ac:dyDescent="0.2">
      <c r="B10" s="261" t="s">
        <v>130</v>
      </c>
      <c r="C10" s="249">
        <v>1000</v>
      </c>
      <c r="D10" s="249">
        <v>1500</v>
      </c>
      <c r="E10" s="249">
        <v>4000</v>
      </c>
      <c r="F10" s="249">
        <f t="shared" si="1"/>
        <v>2500</v>
      </c>
      <c r="G10" s="262">
        <f t="shared" si="2"/>
        <v>1500</v>
      </c>
    </row>
    <row r="11" spans="2:8" x14ac:dyDescent="0.2">
      <c r="B11" s="263" t="s">
        <v>131</v>
      </c>
      <c r="C11" s="264">
        <v>1000</v>
      </c>
      <c r="D11" s="264">
        <v>1500</v>
      </c>
      <c r="E11" s="264">
        <v>1200</v>
      </c>
      <c r="F11" s="264">
        <f t="shared" si="1"/>
        <v>-300</v>
      </c>
      <c r="G11" s="265">
        <f>MAX(0,F11)-C11</f>
        <v>-1000</v>
      </c>
    </row>
    <row r="12" spans="2:8" x14ac:dyDescent="0.2">
      <c r="B12" s="266" t="s">
        <v>119</v>
      </c>
      <c r="C12" s="267">
        <v>0</v>
      </c>
      <c r="D12" s="267">
        <v>90</v>
      </c>
      <c r="E12" s="267">
        <v>100</v>
      </c>
      <c r="F12" s="267">
        <f t="shared" si="1"/>
        <v>10</v>
      </c>
      <c r="G12" s="268">
        <f t="shared" ref="G12:G15" si="3">F12-C12</f>
        <v>10</v>
      </c>
    </row>
    <row r="13" spans="2:8" x14ac:dyDescent="0.2">
      <c r="B13" s="243" t="s">
        <v>121</v>
      </c>
      <c r="C13" s="244">
        <v>0</v>
      </c>
      <c r="D13" s="244">
        <v>20</v>
      </c>
      <c r="E13" s="244">
        <v>20</v>
      </c>
      <c r="F13" s="244">
        <f t="shared" si="1"/>
        <v>0</v>
      </c>
      <c r="G13" s="245">
        <f t="shared" si="3"/>
        <v>0</v>
      </c>
    </row>
    <row r="14" spans="2:8" x14ac:dyDescent="0.2">
      <c r="B14" s="243" t="s">
        <v>122</v>
      </c>
      <c r="C14" s="244">
        <v>0</v>
      </c>
      <c r="D14" s="244">
        <v>20</v>
      </c>
      <c r="E14" s="244">
        <v>12</v>
      </c>
      <c r="F14" s="244">
        <f t="shared" si="1"/>
        <v>-8</v>
      </c>
      <c r="G14" s="245">
        <f t="shared" si="3"/>
        <v>-8</v>
      </c>
    </row>
    <row r="15" spans="2:8" ht="17" thickBot="1" x14ac:dyDescent="0.25">
      <c r="B15" s="246" t="s">
        <v>123</v>
      </c>
      <c r="C15" s="247">
        <v>0</v>
      </c>
      <c r="D15" s="247">
        <v>20</v>
      </c>
      <c r="E15" s="247">
        <v>40</v>
      </c>
      <c r="F15" s="247">
        <f t="shared" si="1"/>
        <v>20</v>
      </c>
      <c r="G15" s="248">
        <f t="shared" si="3"/>
        <v>20</v>
      </c>
    </row>
    <row r="16" spans="2:8" x14ac:dyDescent="0.2">
      <c r="B16" s="150"/>
      <c r="C16" s="150"/>
      <c r="D16" s="147"/>
      <c r="E16" s="147"/>
      <c r="F16" s="147"/>
      <c r="G16" s="147"/>
      <c r="H16" s="147"/>
    </row>
    <row r="17" spans="2:10" ht="17" thickBot="1" x14ac:dyDescent="0.25">
      <c r="B17" s="150"/>
      <c r="C17" s="150"/>
      <c r="D17" s="147"/>
      <c r="E17" s="147"/>
      <c r="F17" s="147"/>
      <c r="G17" s="147"/>
      <c r="H17" s="147"/>
    </row>
    <row r="18" spans="2:10" ht="17" customHeight="1" thickBot="1" x14ac:dyDescent="0.25">
      <c r="B18" s="269" t="s">
        <v>127</v>
      </c>
      <c r="C18" s="270"/>
      <c r="D18" s="270"/>
      <c r="E18" s="271"/>
      <c r="F18" s="147"/>
      <c r="H18" s="152"/>
      <c r="I18" s="152"/>
      <c r="J18" s="152"/>
    </row>
    <row r="19" spans="2:10" ht="16" customHeight="1" x14ac:dyDescent="0.2">
      <c r="B19" s="150"/>
      <c r="C19" s="272" t="s">
        <v>135</v>
      </c>
      <c r="D19" s="272" t="s">
        <v>73</v>
      </c>
      <c r="E19" s="272" t="s">
        <v>124</v>
      </c>
      <c r="F19" s="283" t="s">
        <v>138</v>
      </c>
      <c r="G19" s="147"/>
      <c r="H19" s="147"/>
    </row>
    <row r="20" spans="2:10" x14ac:dyDescent="0.2">
      <c r="B20" s="273" t="s">
        <v>139</v>
      </c>
      <c r="C20" s="10">
        <v>-1000</v>
      </c>
      <c r="D20" s="10">
        <f>AVERAGE(G6:G8)</f>
        <v>0</v>
      </c>
      <c r="E20" s="10">
        <v>25.454550000000001</v>
      </c>
      <c r="F20" s="283"/>
      <c r="G20" s="147"/>
      <c r="H20" s="147"/>
    </row>
    <row r="21" spans="2:10" x14ac:dyDescent="0.2">
      <c r="B21" s="274" t="s">
        <v>140</v>
      </c>
      <c r="C21" s="10">
        <v>1000</v>
      </c>
      <c r="D21" s="10">
        <f>AVERAGE(G9:G11)</f>
        <v>0</v>
      </c>
      <c r="E21" s="10">
        <v>0</v>
      </c>
      <c r="F21" s="283"/>
      <c r="G21" s="147"/>
      <c r="H21" s="147"/>
    </row>
    <row r="22" spans="2:10" x14ac:dyDescent="0.2">
      <c r="B22" s="275" t="s">
        <v>141</v>
      </c>
      <c r="C22" s="10">
        <v>90</v>
      </c>
      <c r="D22" s="10">
        <f>G12</f>
        <v>10</v>
      </c>
      <c r="E22" s="10">
        <v>0</v>
      </c>
      <c r="F22" s="283"/>
      <c r="G22" s="147"/>
      <c r="H22" s="147"/>
    </row>
    <row r="23" spans="2:10" x14ac:dyDescent="0.2">
      <c r="B23" s="276" t="s">
        <v>142</v>
      </c>
      <c r="C23" s="10">
        <v>20</v>
      </c>
      <c r="D23" s="10">
        <f>AVERAGE(G13:G15)</f>
        <v>4</v>
      </c>
      <c r="E23" s="10">
        <v>2272.7275</v>
      </c>
      <c r="F23" s="283"/>
      <c r="G23" s="147"/>
      <c r="H23" s="147"/>
    </row>
    <row r="24" spans="2:10" ht="17" thickBot="1" x14ac:dyDescent="0.25">
      <c r="B24" s="150"/>
      <c r="C24" s="150"/>
      <c r="D24" s="147"/>
      <c r="E24" s="147"/>
      <c r="F24" s="147"/>
      <c r="G24" s="147"/>
      <c r="H24" s="147"/>
    </row>
    <row r="25" spans="2:10" ht="17" thickBot="1" x14ac:dyDescent="0.25">
      <c r="B25" s="201" t="s">
        <v>24</v>
      </c>
      <c r="C25" s="202"/>
      <c r="D25" s="202"/>
      <c r="E25" s="203"/>
      <c r="F25" s="151"/>
      <c r="G25" s="147"/>
      <c r="H25" s="147"/>
    </row>
    <row r="26" spans="2:10" x14ac:dyDescent="0.2">
      <c r="B26" s="284" t="s">
        <v>143</v>
      </c>
      <c r="C26" s="128">
        <f>SUMPRODUCT(C20:C23,E20:E23)</f>
        <v>20000</v>
      </c>
      <c r="D26" s="128" t="s">
        <v>85</v>
      </c>
      <c r="E26" s="129">
        <f>D2</f>
        <v>20000</v>
      </c>
      <c r="H26" s="147"/>
    </row>
    <row r="27" spans="2:10" x14ac:dyDescent="0.2">
      <c r="B27" s="273" t="s">
        <v>125</v>
      </c>
      <c r="C27" s="142">
        <f>E20</f>
        <v>25.454550000000001</v>
      </c>
      <c r="D27" s="142" t="s">
        <v>85</v>
      </c>
      <c r="E27" s="146">
        <v>50</v>
      </c>
      <c r="H27" s="147"/>
    </row>
    <row r="28" spans="2:10" x14ac:dyDescent="0.2">
      <c r="B28" s="274" t="s">
        <v>126</v>
      </c>
      <c r="C28" s="128">
        <f>E21</f>
        <v>0</v>
      </c>
      <c r="D28" s="128" t="s">
        <v>85</v>
      </c>
      <c r="E28" s="129">
        <v>50</v>
      </c>
      <c r="H28" s="147"/>
    </row>
    <row r="29" spans="2:10" x14ac:dyDescent="0.2">
      <c r="B29" s="147"/>
      <c r="C29" s="147"/>
      <c r="D29" s="147"/>
      <c r="E29" s="147"/>
      <c r="F29" s="147"/>
      <c r="G29" s="147"/>
      <c r="H29" s="147"/>
    </row>
    <row r="30" spans="2:10" ht="17" thickBot="1" x14ac:dyDescent="0.25">
      <c r="B30" s="150"/>
      <c r="C30" s="150"/>
      <c r="D30" s="147"/>
      <c r="E30" s="147"/>
      <c r="F30" s="147"/>
      <c r="G30" s="147"/>
      <c r="H30" s="147"/>
    </row>
    <row r="31" spans="2:10" ht="17" thickBot="1" x14ac:dyDescent="0.25">
      <c r="B31" s="201" t="s">
        <v>120</v>
      </c>
      <c r="C31" s="202"/>
      <c r="D31" s="202"/>
      <c r="E31" s="202"/>
      <c r="F31" s="203"/>
      <c r="G31" s="147"/>
      <c r="H31" s="147"/>
    </row>
    <row r="32" spans="2:10" x14ac:dyDescent="0.2">
      <c r="B32" s="197" t="s">
        <v>136</v>
      </c>
      <c r="C32" s="198"/>
      <c r="D32" s="198"/>
      <c r="E32" s="198"/>
      <c r="F32" s="204">
        <f>SUMPRODUCT(D20:D23,E20:E23)</f>
        <v>9090.91</v>
      </c>
      <c r="G32" s="147"/>
      <c r="H32" s="147"/>
    </row>
    <row r="33" spans="1:8" ht="17" thickBot="1" x14ac:dyDescent="0.25">
      <c r="B33" s="199"/>
      <c r="C33" s="200"/>
      <c r="D33" s="200"/>
      <c r="E33" s="200"/>
      <c r="F33" s="205"/>
      <c r="G33" s="147"/>
      <c r="H33" s="147"/>
    </row>
    <row r="34" spans="1:8" x14ac:dyDescent="0.2">
      <c r="B34" s="9"/>
      <c r="C34" s="9"/>
    </row>
    <row r="37" spans="1:8" x14ac:dyDescent="0.2">
      <c r="B37" t="s">
        <v>158</v>
      </c>
    </row>
    <row r="38" spans="1:8" ht="20" thickBot="1" x14ac:dyDescent="0.3">
      <c r="B38" s="294" t="s">
        <v>150</v>
      </c>
    </row>
    <row r="39" spans="1:8" ht="17" thickBot="1" x14ac:dyDescent="0.25">
      <c r="B39" s="201" t="s">
        <v>151</v>
      </c>
      <c r="C39" s="202"/>
      <c r="D39" s="202"/>
      <c r="E39" s="203"/>
    </row>
    <row r="40" spans="1:8" x14ac:dyDescent="0.2">
      <c r="B40" s="295" t="s">
        <v>143</v>
      </c>
      <c r="C40" s="128">
        <f>SUMPRODUCT(C34:C37,E34:E37)</f>
        <v>0</v>
      </c>
      <c r="D40" s="128" t="s">
        <v>85</v>
      </c>
      <c r="E40" s="296">
        <f>1000*E34+D16</f>
        <v>0</v>
      </c>
    </row>
    <row r="41" spans="1:8" x14ac:dyDescent="0.2">
      <c r="B41" s="297" t="s">
        <v>125</v>
      </c>
      <c r="C41" s="142">
        <f>E34</f>
        <v>0</v>
      </c>
      <c r="D41" s="142" t="s">
        <v>85</v>
      </c>
      <c r="E41" s="298">
        <v>50</v>
      </c>
    </row>
    <row r="42" spans="1:8" x14ac:dyDescent="0.2">
      <c r="B42" s="299" t="s">
        <v>126</v>
      </c>
      <c r="C42" s="128">
        <f>E35</f>
        <v>0</v>
      </c>
      <c r="D42" s="128" t="s">
        <v>85</v>
      </c>
      <c r="E42" s="296">
        <v>50</v>
      </c>
    </row>
    <row r="43" spans="1:8" x14ac:dyDescent="0.2">
      <c r="A43" t="s">
        <v>153</v>
      </c>
      <c r="B43" s="304" t="s">
        <v>152</v>
      </c>
      <c r="C43" s="142">
        <f>G6*E20+G9*E21+G13*E23+G12*E22</f>
        <v>12727.275000000001</v>
      </c>
      <c r="D43" s="303" t="s">
        <v>1</v>
      </c>
      <c r="E43" s="298">
        <v>2000</v>
      </c>
    </row>
    <row r="44" spans="1:8" x14ac:dyDescent="0.2">
      <c r="A44" t="s">
        <v>154</v>
      </c>
      <c r="B44" s="305" t="s">
        <v>156</v>
      </c>
      <c r="C44" s="142">
        <f>G7*E20+G10*E21+G12*E22+G15*E23</f>
        <v>7272.7249999999985</v>
      </c>
      <c r="D44" s="303" t="s">
        <v>1</v>
      </c>
      <c r="E44" s="298">
        <v>2000</v>
      </c>
    </row>
    <row r="45" spans="1:8" ht="17" thickBot="1" x14ac:dyDescent="0.25">
      <c r="A45" t="s">
        <v>155</v>
      </c>
      <c r="B45" s="300" t="s">
        <v>157</v>
      </c>
      <c r="C45" s="45">
        <f>G8*E20+G11*E21+G12*E22+G14*E23</f>
        <v>7272.7300000000032</v>
      </c>
      <c r="D45" s="301" t="s">
        <v>1</v>
      </c>
      <c r="E45" s="302">
        <v>2000</v>
      </c>
    </row>
    <row r="49" spans="2:5" x14ac:dyDescent="0.2">
      <c r="B49" t="s">
        <v>159</v>
      </c>
    </row>
    <row r="50" spans="2:5" ht="17" thickBot="1" x14ac:dyDescent="0.25"/>
    <row r="51" spans="2:5" ht="17" thickBot="1" x14ac:dyDescent="0.25">
      <c r="B51" s="201" t="s">
        <v>151</v>
      </c>
      <c r="C51" s="202"/>
      <c r="D51" s="202"/>
      <c r="E51" s="203"/>
    </row>
    <row r="52" spans="2:5" x14ac:dyDescent="0.2">
      <c r="B52" s="295" t="s">
        <v>143</v>
      </c>
      <c r="C52" s="128">
        <f t="shared" ref="C52:C57" si="4">C40</f>
        <v>0</v>
      </c>
      <c r="D52" s="128" t="s">
        <v>85</v>
      </c>
      <c r="E52" s="296">
        <f>1000*E34+D16</f>
        <v>0</v>
      </c>
    </row>
    <row r="53" spans="2:5" x14ac:dyDescent="0.2">
      <c r="B53" s="297" t="s">
        <v>125</v>
      </c>
      <c r="C53" s="142">
        <f t="shared" si="4"/>
        <v>0</v>
      </c>
      <c r="D53" s="142" t="s">
        <v>85</v>
      </c>
      <c r="E53" s="298">
        <v>50</v>
      </c>
    </row>
    <row r="54" spans="2:5" x14ac:dyDescent="0.2">
      <c r="B54" s="299" t="s">
        <v>126</v>
      </c>
      <c r="C54" s="128">
        <f t="shared" si="4"/>
        <v>0</v>
      </c>
      <c r="D54" s="128" t="s">
        <v>85</v>
      </c>
      <c r="E54" s="296">
        <v>50</v>
      </c>
    </row>
    <row r="55" spans="2:5" x14ac:dyDescent="0.2">
      <c r="B55" s="304" t="s">
        <v>152</v>
      </c>
      <c r="C55" s="142">
        <f t="shared" si="4"/>
        <v>12727.275000000001</v>
      </c>
      <c r="D55" s="303" t="s">
        <v>1</v>
      </c>
      <c r="E55" s="298">
        <v>7272.73</v>
      </c>
    </row>
    <row r="56" spans="2:5" x14ac:dyDescent="0.2">
      <c r="B56" s="305" t="s">
        <v>156</v>
      </c>
      <c r="C56" s="142">
        <f t="shared" si="4"/>
        <v>7272.7249999999985</v>
      </c>
      <c r="D56" s="303" t="s">
        <v>1</v>
      </c>
      <c r="E56" s="298">
        <v>7272.73</v>
      </c>
    </row>
    <row r="57" spans="2:5" ht="17" thickBot="1" x14ac:dyDescent="0.25">
      <c r="B57" s="300" t="s">
        <v>157</v>
      </c>
      <c r="C57" s="45">
        <f t="shared" si="4"/>
        <v>7272.7300000000032</v>
      </c>
      <c r="D57" s="301" t="s">
        <v>1</v>
      </c>
      <c r="E57" s="306">
        <v>7272.73</v>
      </c>
    </row>
  </sheetData>
  <mergeCells count="10">
    <mergeCell ref="B39:E39"/>
    <mergeCell ref="B51:E51"/>
    <mergeCell ref="B31:F31"/>
    <mergeCell ref="B18:E18"/>
    <mergeCell ref="F19:F23"/>
    <mergeCell ref="B2:C2"/>
    <mergeCell ref="B32:E33"/>
    <mergeCell ref="B25:E25"/>
    <mergeCell ref="F32:F33"/>
    <mergeCell ref="B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B05A-3E86-E64F-963E-1FE3D927B0A0}">
  <dimension ref="A1:J48"/>
  <sheetViews>
    <sheetView zoomScale="248" workbookViewId="0">
      <selection activeCell="C35" sqref="C35:D35"/>
    </sheetView>
  </sheetViews>
  <sheetFormatPr baseColWidth="10" defaultColWidth="21.1640625" defaultRowHeight="16" x14ac:dyDescent="0.2"/>
  <cols>
    <col min="1" max="1" width="19.6640625" bestFit="1" customWidth="1"/>
    <col min="2" max="2" width="5.5" bestFit="1" customWidth="1"/>
    <col min="3" max="3" width="18.33203125" bestFit="1" customWidth="1"/>
    <col min="4" max="4" width="9.1640625" bestFit="1" customWidth="1"/>
    <col min="5" max="5" width="5.83203125" bestFit="1" customWidth="1"/>
    <col min="6" max="6" width="7.6640625" bestFit="1" customWidth="1"/>
    <col min="7" max="7" width="9.1640625" bestFit="1" customWidth="1"/>
    <col min="8" max="8" width="5.83203125" bestFit="1" customWidth="1"/>
    <col min="9" max="9" width="3.5" bestFit="1" customWidth="1"/>
    <col min="10" max="10" width="4.1640625" bestFit="1" customWidth="1"/>
  </cols>
  <sheetData>
    <row r="1" spans="1:9" ht="17" thickBot="1" x14ac:dyDescent="0.25"/>
    <row r="2" spans="1:9" ht="18" thickBot="1" x14ac:dyDescent="0.25">
      <c r="A2" s="86" t="s">
        <v>87</v>
      </c>
      <c r="B2" s="87" t="s">
        <v>93</v>
      </c>
      <c r="C2" s="87" t="s">
        <v>88</v>
      </c>
      <c r="D2" s="87" t="s">
        <v>89</v>
      </c>
      <c r="E2" s="87" t="s">
        <v>90</v>
      </c>
      <c r="F2" s="88" t="s">
        <v>91</v>
      </c>
    </row>
    <row r="3" spans="1:9" ht="17" x14ac:dyDescent="0.2">
      <c r="A3" s="84" t="s">
        <v>92</v>
      </c>
      <c r="B3" s="85" t="s">
        <v>94</v>
      </c>
      <c r="C3" s="85">
        <v>400</v>
      </c>
      <c r="D3" s="89">
        <v>3</v>
      </c>
      <c r="E3" s="89">
        <v>2</v>
      </c>
      <c r="F3" s="90">
        <v>2</v>
      </c>
    </row>
    <row r="4" spans="1:9" ht="34" x14ac:dyDescent="0.2">
      <c r="A4" s="81" t="s">
        <v>98</v>
      </c>
      <c r="B4" s="80" t="s">
        <v>101</v>
      </c>
      <c r="C4" s="80">
        <v>200</v>
      </c>
      <c r="D4" s="91">
        <v>2</v>
      </c>
      <c r="E4" s="91">
        <v>2</v>
      </c>
      <c r="F4" s="92">
        <v>4</v>
      </c>
    </row>
    <row r="5" spans="1:9" ht="17" x14ac:dyDescent="0.2">
      <c r="A5" s="81" t="s">
        <v>86</v>
      </c>
      <c r="B5" s="80" t="s">
        <v>95</v>
      </c>
      <c r="C5" s="80">
        <v>150</v>
      </c>
      <c r="D5" s="91">
        <v>0</v>
      </c>
      <c r="E5" s="91">
        <v>4</v>
      </c>
      <c r="F5" s="92">
        <v>1</v>
      </c>
    </row>
    <row r="6" spans="1:9" ht="35" thickBot="1" x14ac:dyDescent="0.25">
      <c r="A6" s="82" t="s">
        <v>97</v>
      </c>
      <c r="B6" s="83" t="s">
        <v>96</v>
      </c>
      <c r="C6" s="83">
        <v>500</v>
      </c>
      <c r="D6" s="93">
        <v>0</v>
      </c>
      <c r="E6" s="93">
        <v>4</v>
      </c>
      <c r="F6" s="94">
        <v>5</v>
      </c>
    </row>
    <row r="7" spans="1:9" ht="17" thickBot="1" x14ac:dyDescent="0.25"/>
    <row r="8" spans="1:9" ht="17" thickBot="1" x14ac:dyDescent="0.25">
      <c r="A8" s="98" t="s">
        <v>99</v>
      </c>
      <c r="C8" s="126" t="s">
        <v>93</v>
      </c>
      <c r="D8" s="215" t="s">
        <v>105</v>
      </c>
      <c r="E8" s="215"/>
      <c r="F8" s="215"/>
      <c r="G8" s="216"/>
      <c r="H8" s="121" t="s">
        <v>100</v>
      </c>
    </row>
    <row r="9" spans="1:9" ht="17" thickBot="1" x14ac:dyDescent="0.25">
      <c r="C9" s="122" t="s">
        <v>94</v>
      </c>
      <c r="D9" s="211" t="s">
        <v>102</v>
      </c>
      <c r="E9" s="212"/>
      <c r="F9" s="212"/>
      <c r="G9" s="212"/>
      <c r="H9" s="123">
        <v>50</v>
      </c>
    </row>
    <row r="10" spans="1:9" ht="17" thickBot="1" x14ac:dyDescent="0.25">
      <c r="C10" s="124" t="s">
        <v>101</v>
      </c>
      <c r="D10" s="213" t="s">
        <v>106</v>
      </c>
      <c r="E10" s="214"/>
      <c r="F10" s="214"/>
      <c r="G10" s="214"/>
      <c r="H10" s="125">
        <v>20</v>
      </c>
    </row>
    <row r="11" spans="1:9" ht="17" thickBot="1" x14ac:dyDescent="0.25">
      <c r="C11" s="122" t="s">
        <v>95</v>
      </c>
      <c r="D11" s="211" t="s">
        <v>103</v>
      </c>
      <c r="E11" s="212"/>
      <c r="F11" s="212"/>
      <c r="G11" s="212"/>
      <c r="H11" s="123">
        <v>30</v>
      </c>
    </row>
    <row r="12" spans="1:9" ht="17" thickBot="1" x14ac:dyDescent="0.25">
      <c r="C12" s="124" t="s">
        <v>96</v>
      </c>
      <c r="D12" s="213" t="s">
        <v>104</v>
      </c>
      <c r="E12" s="214"/>
      <c r="F12" s="214"/>
      <c r="G12" s="214"/>
      <c r="H12" s="125">
        <v>80</v>
      </c>
    </row>
    <row r="14" spans="1:9" x14ac:dyDescent="0.2">
      <c r="C14" s="127"/>
      <c r="D14" s="127"/>
      <c r="E14" s="127"/>
      <c r="F14" s="127"/>
      <c r="G14" s="127"/>
      <c r="H14" s="127"/>
      <c r="I14" s="127"/>
    </row>
    <row r="15" spans="1:9" x14ac:dyDescent="0.2">
      <c r="C15" s="208" t="s">
        <v>108</v>
      </c>
      <c r="D15" s="208"/>
      <c r="E15" s="208"/>
    </row>
    <row r="16" spans="1:9" x14ac:dyDescent="0.2">
      <c r="C16" s="207" t="s">
        <v>107</v>
      </c>
      <c r="D16" s="207"/>
      <c r="E16" s="207"/>
      <c r="F16" s="207"/>
      <c r="G16" s="207"/>
      <c r="H16" s="207"/>
    </row>
    <row r="19" spans="3:10" x14ac:dyDescent="0.2">
      <c r="C19" s="206" t="s">
        <v>109</v>
      </c>
      <c r="D19" s="206"/>
      <c r="E19" s="206"/>
      <c r="F19" s="206"/>
      <c r="G19" s="206"/>
      <c r="H19" s="206"/>
      <c r="I19" s="206"/>
      <c r="J19" s="206"/>
    </row>
    <row r="20" spans="3:10" ht="17" thickBot="1" x14ac:dyDescent="0.25"/>
    <row r="21" spans="3:10" x14ac:dyDescent="0.2">
      <c r="C21" s="99"/>
      <c r="D21" s="100" t="s">
        <v>94</v>
      </c>
      <c r="E21" s="100" t="s">
        <v>101</v>
      </c>
      <c r="F21" s="100" t="s">
        <v>95</v>
      </c>
      <c r="G21" s="101" t="s">
        <v>96</v>
      </c>
      <c r="H21" s="102"/>
      <c r="I21" s="103"/>
      <c r="J21" s="104"/>
    </row>
    <row r="22" spans="3:10" x14ac:dyDescent="0.2">
      <c r="C22" s="105"/>
      <c r="D22" s="106">
        <v>0</v>
      </c>
      <c r="E22" s="106">
        <v>3</v>
      </c>
      <c r="F22" s="106">
        <v>1.0000000000000002</v>
      </c>
      <c r="G22" s="107">
        <v>0</v>
      </c>
      <c r="H22" s="108"/>
      <c r="I22" s="109"/>
      <c r="J22" s="110"/>
    </row>
    <row r="23" spans="3:10" x14ac:dyDescent="0.2">
      <c r="C23" s="105" t="s">
        <v>84</v>
      </c>
      <c r="D23" s="111">
        <v>50</v>
      </c>
      <c r="E23" s="111">
        <v>20</v>
      </c>
      <c r="F23" s="111">
        <v>30</v>
      </c>
      <c r="G23" s="112">
        <v>80</v>
      </c>
      <c r="H23" s="108"/>
      <c r="I23" s="109"/>
      <c r="J23" s="113">
        <f>D23*D22+E23*E22+F23*F22+G23*G22</f>
        <v>90</v>
      </c>
    </row>
    <row r="24" spans="3:10" x14ac:dyDescent="0.2">
      <c r="C24" s="105" t="s">
        <v>88</v>
      </c>
      <c r="D24" s="111">
        <v>400</v>
      </c>
      <c r="E24" s="111">
        <v>200</v>
      </c>
      <c r="F24" s="111">
        <v>150</v>
      </c>
      <c r="G24" s="112">
        <v>500</v>
      </c>
      <c r="H24" s="114">
        <f>D24*D22+E24*E22+F24*F22+G24*G22</f>
        <v>750</v>
      </c>
      <c r="I24" s="109" t="s">
        <v>1</v>
      </c>
      <c r="J24" s="110">
        <v>500</v>
      </c>
    </row>
    <row r="25" spans="3:10" x14ac:dyDescent="0.2">
      <c r="C25" s="105" t="s">
        <v>89</v>
      </c>
      <c r="D25" s="111">
        <v>3</v>
      </c>
      <c r="E25" s="111">
        <v>2</v>
      </c>
      <c r="F25" s="111">
        <v>0</v>
      </c>
      <c r="G25" s="112">
        <v>0</v>
      </c>
      <c r="H25" s="114">
        <f>D25*D22+E25*E22+F25*F22+G25*G22</f>
        <v>6</v>
      </c>
      <c r="I25" s="109" t="s">
        <v>1</v>
      </c>
      <c r="J25" s="110">
        <v>6</v>
      </c>
    </row>
    <row r="26" spans="3:10" x14ac:dyDescent="0.2">
      <c r="C26" s="105" t="s">
        <v>90</v>
      </c>
      <c r="D26" s="111">
        <v>2</v>
      </c>
      <c r="E26" s="111">
        <v>2</v>
      </c>
      <c r="F26" s="111">
        <v>4</v>
      </c>
      <c r="G26" s="112">
        <v>4</v>
      </c>
      <c r="H26" s="114">
        <f>D26*D22+E26*E22+F26*F22+G26*G22</f>
        <v>10</v>
      </c>
      <c r="I26" s="109" t="s">
        <v>1</v>
      </c>
      <c r="J26" s="110">
        <v>10</v>
      </c>
    </row>
    <row r="27" spans="3:10" ht="17" thickBot="1" x14ac:dyDescent="0.25">
      <c r="C27" s="115" t="s">
        <v>91</v>
      </c>
      <c r="D27" s="116">
        <v>2</v>
      </c>
      <c r="E27" s="116">
        <v>4</v>
      </c>
      <c r="F27" s="116">
        <v>1</v>
      </c>
      <c r="G27" s="117">
        <v>5</v>
      </c>
      <c r="H27" s="118">
        <f>D27*D22+E27*E22+F27*F22+G27*G22</f>
        <v>13</v>
      </c>
      <c r="I27" s="119" t="s">
        <v>1</v>
      </c>
      <c r="J27" s="120">
        <v>8</v>
      </c>
    </row>
    <row r="30" spans="3:10" x14ac:dyDescent="0.2">
      <c r="C30" s="130"/>
      <c r="D30" s="131"/>
      <c r="E30" s="79" t="s">
        <v>84</v>
      </c>
      <c r="F30" s="79" t="s">
        <v>88</v>
      </c>
      <c r="G30" s="79" t="s">
        <v>89</v>
      </c>
      <c r="H30" s="79" t="s">
        <v>90</v>
      </c>
      <c r="I30" s="132" t="s">
        <v>91</v>
      </c>
    </row>
    <row r="31" spans="3:10" x14ac:dyDescent="0.2">
      <c r="C31" s="133" t="s">
        <v>94</v>
      </c>
      <c r="D31" s="134">
        <v>0</v>
      </c>
      <c r="E31" s="10">
        <v>50</v>
      </c>
      <c r="F31" s="10">
        <v>400</v>
      </c>
      <c r="G31" s="10">
        <v>3</v>
      </c>
      <c r="H31" s="10">
        <v>2</v>
      </c>
      <c r="I31" s="10">
        <v>2</v>
      </c>
    </row>
    <row r="32" spans="3:10" x14ac:dyDescent="0.2">
      <c r="C32" s="79" t="s">
        <v>101</v>
      </c>
      <c r="D32" s="10">
        <v>3</v>
      </c>
      <c r="E32" s="10">
        <v>20</v>
      </c>
      <c r="F32" s="10">
        <v>200</v>
      </c>
      <c r="G32" s="10">
        <v>2</v>
      </c>
      <c r="H32" s="10">
        <v>2</v>
      </c>
      <c r="I32" s="10">
        <v>4</v>
      </c>
    </row>
    <row r="33" spans="3:9" x14ac:dyDescent="0.2">
      <c r="C33" s="79" t="s">
        <v>95</v>
      </c>
      <c r="D33" s="10">
        <v>1</v>
      </c>
      <c r="E33" s="10">
        <v>30</v>
      </c>
      <c r="F33" s="10">
        <v>150</v>
      </c>
      <c r="G33" s="10">
        <v>0</v>
      </c>
      <c r="H33" s="10">
        <v>4</v>
      </c>
      <c r="I33" s="10">
        <v>1</v>
      </c>
    </row>
    <row r="34" spans="3:9" x14ac:dyDescent="0.2">
      <c r="C34" s="79" t="s">
        <v>96</v>
      </c>
      <c r="D34" s="10">
        <v>0</v>
      </c>
      <c r="E34" s="10">
        <v>80</v>
      </c>
      <c r="F34" s="10">
        <v>500</v>
      </c>
      <c r="G34" s="10">
        <v>0</v>
      </c>
      <c r="H34" s="10">
        <v>4</v>
      </c>
      <c r="I34" s="10">
        <v>5</v>
      </c>
    </row>
    <row r="35" spans="3:9" x14ac:dyDescent="0.2">
      <c r="C35" s="209" t="s">
        <v>113</v>
      </c>
      <c r="D35" s="210"/>
      <c r="E35" s="139">
        <f>SUMPRODUCT($D$31:$D$34,E31:E34)</f>
        <v>90</v>
      </c>
      <c r="F35" s="135">
        <f>SUMPRODUCT($D$31:$D$34,F31:F34)</f>
        <v>750</v>
      </c>
      <c r="G35" s="136">
        <f t="shared" ref="G35:I35" si="0">SUMPRODUCT($D$31:$D$34,G31:G34)</f>
        <v>6</v>
      </c>
      <c r="H35" s="137">
        <f t="shared" si="0"/>
        <v>10</v>
      </c>
      <c r="I35" s="138">
        <f t="shared" si="0"/>
        <v>13</v>
      </c>
    </row>
    <row r="37" spans="3:9" x14ac:dyDescent="0.2">
      <c r="C37" s="145" t="s">
        <v>24</v>
      </c>
    </row>
    <row r="38" spans="3:9" x14ac:dyDescent="0.2">
      <c r="C38" s="141" t="s">
        <v>110</v>
      </c>
      <c r="D38" s="142">
        <f>F35</f>
        <v>750</v>
      </c>
      <c r="E38" s="142" t="s">
        <v>1</v>
      </c>
      <c r="F38" s="143">
        <v>500</v>
      </c>
    </row>
    <row r="39" spans="3:9" x14ac:dyDescent="0.2">
      <c r="C39" s="141" t="s">
        <v>111</v>
      </c>
      <c r="D39" s="142">
        <f>G35</f>
        <v>6</v>
      </c>
      <c r="E39" s="142" t="s">
        <v>1</v>
      </c>
      <c r="F39" s="143">
        <v>6</v>
      </c>
    </row>
    <row r="40" spans="3:9" x14ac:dyDescent="0.2">
      <c r="C40" s="141" t="s">
        <v>112</v>
      </c>
      <c r="D40" s="142">
        <f>H35</f>
        <v>10</v>
      </c>
      <c r="E40" s="142" t="s">
        <v>1</v>
      </c>
      <c r="F40" s="143">
        <v>10</v>
      </c>
    </row>
    <row r="41" spans="3:9" x14ac:dyDescent="0.2">
      <c r="C41" s="140" t="s">
        <v>91</v>
      </c>
      <c r="D41" s="128">
        <f>I35</f>
        <v>13</v>
      </c>
      <c r="E41" s="128" t="s">
        <v>1</v>
      </c>
      <c r="F41" s="144">
        <v>8</v>
      </c>
    </row>
    <row r="44" spans="3:9" x14ac:dyDescent="0.2">
      <c r="C44" t="s">
        <v>115</v>
      </c>
    </row>
    <row r="45" spans="3:9" x14ac:dyDescent="0.2">
      <c r="C45" s="141" t="s">
        <v>88</v>
      </c>
      <c r="D45" s="146">
        <v>250</v>
      </c>
    </row>
    <row r="46" spans="3:9" x14ac:dyDescent="0.2">
      <c r="C46" s="141" t="s">
        <v>89</v>
      </c>
      <c r="D46" s="146">
        <v>5</v>
      </c>
    </row>
    <row r="47" spans="3:9" x14ac:dyDescent="0.2">
      <c r="C47" s="141" t="s">
        <v>90</v>
      </c>
      <c r="D47" s="146">
        <v>5</v>
      </c>
    </row>
    <row r="48" spans="3:9" x14ac:dyDescent="0.2">
      <c r="C48" s="140" t="s">
        <v>91</v>
      </c>
      <c r="D48" s="129">
        <v>2</v>
      </c>
    </row>
  </sheetData>
  <mergeCells count="9">
    <mergeCell ref="D8:G8"/>
    <mergeCell ref="C19:J19"/>
    <mergeCell ref="C16:H16"/>
    <mergeCell ref="C15:E15"/>
    <mergeCell ref="C35:D35"/>
    <mergeCell ref="D9:G9"/>
    <mergeCell ref="D10:G10"/>
    <mergeCell ref="D11:G11"/>
    <mergeCell ref="D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7B00-8CB3-4745-81E0-CAE339318324}">
  <dimension ref="A1:D9"/>
  <sheetViews>
    <sheetView zoomScale="150" workbookViewId="0">
      <selection activeCell="B5" sqref="B5:C9"/>
    </sheetView>
  </sheetViews>
  <sheetFormatPr baseColWidth="10" defaultRowHeight="16" x14ac:dyDescent="0.2"/>
  <sheetData>
    <row r="1" spans="1:4" ht="17" thickBot="1" x14ac:dyDescent="0.25">
      <c r="A1" s="291" t="s">
        <v>146</v>
      </c>
      <c r="B1" s="292"/>
      <c r="C1" s="292"/>
      <c r="D1" s="293"/>
    </row>
    <row r="2" spans="1:4" ht="17" thickBot="1" x14ac:dyDescent="0.25"/>
    <row r="3" spans="1:4" ht="17" thickBot="1" x14ac:dyDescent="0.25">
      <c r="A3" s="201" t="s">
        <v>149</v>
      </c>
      <c r="B3" s="202"/>
      <c r="C3" s="203"/>
    </row>
    <row r="4" spans="1:4" ht="17" thickBot="1" x14ac:dyDescent="0.25"/>
    <row r="5" spans="1:4" ht="17" thickBot="1" x14ac:dyDescent="0.25">
      <c r="B5" s="148" t="s">
        <v>147</v>
      </c>
      <c r="C5" s="149" t="s">
        <v>148</v>
      </c>
    </row>
    <row r="6" spans="1:4" x14ac:dyDescent="0.2">
      <c r="B6" s="287">
        <v>0</v>
      </c>
      <c r="C6" s="288">
        <v>0</v>
      </c>
    </row>
    <row r="7" spans="1:4" x14ac:dyDescent="0.2">
      <c r="B7" s="287">
        <v>0</v>
      </c>
      <c r="C7" s="288">
        <v>1</v>
      </c>
    </row>
    <row r="8" spans="1:4" x14ac:dyDescent="0.2">
      <c r="B8" s="287">
        <v>1</v>
      </c>
      <c r="C8" s="288">
        <v>0</v>
      </c>
    </row>
    <row r="9" spans="1:4" ht="17" thickBot="1" x14ac:dyDescent="0.25">
      <c r="B9" s="289">
        <v>1</v>
      </c>
      <c r="C9" s="290">
        <v>1</v>
      </c>
    </row>
  </sheetData>
  <mergeCells count="2">
    <mergeCell ref="A3:C3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1B48-6B90-DE4D-AC80-9C43608EB7C0}">
  <dimension ref="A1:N33"/>
  <sheetViews>
    <sheetView zoomScale="211" workbookViewId="0">
      <selection activeCell="I9" sqref="I9:L10"/>
    </sheetView>
  </sheetViews>
  <sheetFormatPr baseColWidth="10" defaultColWidth="11.33203125" defaultRowHeight="16" x14ac:dyDescent="0.2"/>
  <cols>
    <col min="1" max="1" width="7.5" bestFit="1" customWidth="1"/>
    <col min="2" max="2" width="2.1640625" bestFit="1" customWidth="1"/>
    <col min="3" max="3" width="2.33203125" bestFit="1" customWidth="1"/>
    <col min="4" max="5" width="2.1640625" bestFit="1" customWidth="1"/>
    <col min="6" max="6" width="2.83203125" bestFit="1" customWidth="1"/>
    <col min="7" max="7" width="5.33203125" bestFit="1" customWidth="1"/>
  </cols>
  <sheetData>
    <row r="1" spans="1:14" x14ac:dyDescent="0.2">
      <c r="A1" s="78" t="s">
        <v>116</v>
      </c>
      <c r="B1" s="78" t="s">
        <v>0</v>
      </c>
      <c r="C1" s="78" t="s">
        <v>74</v>
      </c>
      <c r="D1" s="78" t="s">
        <v>75</v>
      </c>
      <c r="E1" s="78" t="s">
        <v>76</v>
      </c>
      <c r="F1" s="78" t="s">
        <v>77</v>
      </c>
      <c r="G1" s="78" t="s">
        <v>118</v>
      </c>
    </row>
    <row r="2" spans="1:14" ht="17" thickBot="1" x14ac:dyDescent="0.25">
      <c r="A2" s="77" t="b">
        <v>1</v>
      </c>
      <c r="B2" s="77">
        <v>0</v>
      </c>
      <c r="C2" s="77">
        <v>0</v>
      </c>
      <c r="D2" s="77">
        <v>0</v>
      </c>
      <c r="E2" s="77">
        <v>0</v>
      </c>
      <c r="F2" s="77">
        <v>0</v>
      </c>
      <c r="G2" s="77">
        <f t="shared" ref="G2:G33" si="0">B2*16+C2*8+D2*4+(E2*2)+(F2*1)</f>
        <v>0</v>
      </c>
    </row>
    <row r="3" spans="1:14" x14ac:dyDescent="0.2">
      <c r="A3" s="77" t="b">
        <v>1</v>
      </c>
      <c r="B3" s="77">
        <v>0</v>
      </c>
      <c r="C3" s="77">
        <v>0</v>
      </c>
      <c r="D3" s="77">
        <v>0</v>
      </c>
      <c r="E3" s="77">
        <v>0</v>
      </c>
      <c r="F3" s="77">
        <v>1</v>
      </c>
      <c r="G3" s="77">
        <f t="shared" si="0"/>
        <v>1</v>
      </c>
      <c r="I3" s="217" t="s">
        <v>80</v>
      </c>
      <c r="J3" s="218"/>
      <c r="K3" s="218"/>
      <c r="L3" s="218"/>
      <c r="M3" s="218"/>
      <c r="N3" s="219"/>
    </row>
    <row r="4" spans="1:14" x14ac:dyDescent="0.2">
      <c r="A4" s="77" t="b">
        <v>1</v>
      </c>
      <c r="B4" s="77">
        <v>0</v>
      </c>
      <c r="C4" s="77">
        <v>0</v>
      </c>
      <c r="D4" s="77">
        <v>0</v>
      </c>
      <c r="E4" s="77">
        <v>1</v>
      </c>
      <c r="F4" s="77">
        <v>0</v>
      </c>
      <c r="G4" s="77">
        <f t="shared" si="0"/>
        <v>2</v>
      </c>
      <c r="I4" s="220" t="s">
        <v>82</v>
      </c>
      <c r="J4" s="221"/>
      <c r="K4" s="221"/>
      <c r="L4" s="221"/>
      <c r="M4" s="221"/>
      <c r="N4" s="222"/>
    </row>
    <row r="5" spans="1:14" ht="17" thickBot="1" x14ac:dyDescent="0.25">
      <c r="A5" s="77" t="b">
        <v>1</v>
      </c>
      <c r="B5" s="77">
        <v>0</v>
      </c>
      <c r="C5" s="77">
        <v>0</v>
      </c>
      <c r="D5" s="77">
        <v>0</v>
      </c>
      <c r="E5" s="77">
        <v>1</v>
      </c>
      <c r="F5" s="77">
        <v>1</v>
      </c>
      <c r="G5" s="77">
        <f t="shared" si="0"/>
        <v>3</v>
      </c>
      <c r="I5" s="223" t="s">
        <v>83</v>
      </c>
      <c r="J5" s="224"/>
      <c r="K5" s="224"/>
      <c r="L5" s="224"/>
      <c r="M5" s="224"/>
      <c r="N5" s="225"/>
    </row>
    <row r="6" spans="1:14" x14ac:dyDescent="0.2">
      <c r="A6" s="77" t="b">
        <v>1</v>
      </c>
      <c r="B6" s="77">
        <v>0</v>
      </c>
      <c r="C6" s="77">
        <v>0</v>
      </c>
      <c r="D6" s="77">
        <v>1</v>
      </c>
      <c r="E6" s="77">
        <v>0</v>
      </c>
      <c r="F6" s="77">
        <v>0</v>
      </c>
      <c r="G6" s="77">
        <f t="shared" si="0"/>
        <v>4</v>
      </c>
    </row>
    <row r="7" spans="1:14" ht="17" thickBot="1" x14ac:dyDescent="0.25">
      <c r="A7" s="77" t="b">
        <v>1</v>
      </c>
      <c r="B7" s="77">
        <v>0</v>
      </c>
      <c r="C7" s="77">
        <v>0</v>
      </c>
      <c r="D7" s="77">
        <v>1</v>
      </c>
      <c r="E7" s="77">
        <v>0</v>
      </c>
      <c r="F7" s="77">
        <v>1</v>
      </c>
      <c r="G7" s="77">
        <f t="shared" si="0"/>
        <v>5</v>
      </c>
    </row>
    <row r="8" spans="1:14" ht="17" thickBot="1" x14ac:dyDescent="0.25">
      <c r="A8" s="77" t="b">
        <v>1</v>
      </c>
      <c r="B8" s="77">
        <v>0</v>
      </c>
      <c r="C8" s="77">
        <v>0</v>
      </c>
      <c r="D8" s="77">
        <v>1</v>
      </c>
      <c r="E8" s="77">
        <v>1</v>
      </c>
      <c r="F8" s="77">
        <v>0</v>
      </c>
      <c r="G8" s="77">
        <f t="shared" si="0"/>
        <v>6</v>
      </c>
      <c r="I8" s="280" t="s">
        <v>145</v>
      </c>
      <c r="J8" s="281"/>
      <c r="K8" s="281"/>
      <c r="L8" s="282"/>
    </row>
    <row r="9" spans="1:14" x14ac:dyDescent="0.2">
      <c r="A9" s="77" t="b">
        <v>1</v>
      </c>
      <c r="B9" s="77">
        <v>0</v>
      </c>
      <c r="C9" s="77">
        <v>0</v>
      </c>
      <c r="D9" s="77">
        <v>1</v>
      </c>
      <c r="E9" s="77">
        <v>1</v>
      </c>
      <c r="F9" s="77">
        <v>1</v>
      </c>
      <c r="G9" s="77">
        <f t="shared" si="0"/>
        <v>7</v>
      </c>
      <c r="I9" s="286"/>
      <c r="J9" s="286"/>
      <c r="K9" s="286"/>
      <c r="L9" s="286"/>
    </row>
    <row r="10" spans="1:14" x14ac:dyDescent="0.2">
      <c r="A10" s="77" t="b">
        <v>1</v>
      </c>
      <c r="B10" s="77">
        <v>0</v>
      </c>
      <c r="C10" s="77">
        <v>1</v>
      </c>
      <c r="D10" s="77">
        <v>0</v>
      </c>
      <c r="E10" s="77">
        <v>0</v>
      </c>
      <c r="F10" s="77">
        <v>0</v>
      </c>
      <c r="G10" s="77">
        <f t="shared" si="0"/>
        <v>8</v>
      </c>
      <c r="I10" s="279"/>
      <c r="J10" s="279"/>
      <c r="K10" s="279"/>
      <c r="L10" s="279"/>
    </row>
    <row r="11" spans="1:14" x14ac:dyDescent="0.2">
      <c r="A11" s="77" t="b">
        <v>1</v>
      </c>
      <c r="B11" s="77">
        <v>0</v>
      </c>
      <c r="C11" s="77">
        <v>1</v>
      </c>
      <c r="D11" s="77">
        <v>0</v>
      </c>
      <c r="E11" s="77">
        <v>0</v>
      </c>
      <c r="F11" s="77">
        <v>1</v>
      </c>
      <c r="G11" s="77">
        <f t="shared" si="0"/>
        <v>9</v>
      </c>
    </row>
    <row r="12" spans="1:14" x14ac:dyDescent="0.2">
      <c r="A12" s="77" t="b">
        <v>1</v>
      </c>
      <c r="B12" s="77">
        <v>0</v>
      </c>
      <c r="C12" s="77">
        <v>1</v>
      </c>
      <c r="D12" s="77">
        <v>0</v>
      </c>
      <c r="E12" s="77">
        <v>1</v>
      </c>
      <c r="F12" s="77">
        <v>0</v>
      </c>
      <c r="G12" s="77">
        <f t="shared" si="0"/>
        <v>10</v>
      </c>
    </row>
    <row r="13" spans="1:14" x14ac:dyDescent="0.2">
      <c r="A13" s="77" t="b">
        <v>1</v>
      </c>
      <c r="B13" s="77">
        <v>0</v>
      </c>
      <c r="C13" s="77">
        <v>1</v>
      </c>
      <c r="D13" s="77">
        <v>0</v>
      </c>
      <c r="E13" s="77">
        <v>1</v>
      </c>
      <c r="F13" s="77">
        <v>1</v>
      </c>
      <c r="G13" s="77">
        <f t="shared" si="0"/>
        <v>11</v>
      </c>
    </row>
    <row r="14" spans="1:14" x14ac:dyDescent="0.2">
      <c r="A14" s="77" t="b">
        <v>1</v>
      </c>
      <c r="B14" s="77">
        <v>0</v>
      </c>
      <c r="C14" s="77">
        <v>1</v>
      </c>
      <c r="D14" s="77">
        <v>1</v>
      </c>
      <c r="E14" s="77">
        <v>0</v>
      </c>
      <c r="F14" s="77">
        <v>0</v>
      </c>
      <c r="G14" s="77">
        <f t="shared" si="0"/>
        <v>12</v>
      </c>
    </row>
    <row r="15" spans="1:14" x14ac:dyDescent="0.2">
      <c r="A15" s="77" t="b">
        <v>1</v>
      </c>
      <c r="B15" s="77">
        <v>0</v>
      </c>
      <c r="C15" s="77">
        <v>1</v>
      </c>
      <c r="D15" s="77">
        <v>1</v>
      </c>
      <c r="E15" s="77">
        <v>0</v>
      </c>
      <c r="F15" s="77">
        <v>1</v>
      </c>
      <c r="G15" s="77">
        <f t="shared" si="0"/>
        <v>13</v>
      </c>
    </row>
    <row r="16" spans="1:14" x14ac:dyDescent="0.2">
      <c r="A16" s="77" t="b">
        <v>1</v>
      </c>
      <c r="B16" s="77">
        <v>0</v>
      </c>
      <c r="C16" s="77">
        <v>1</v>
      </c>
      <c r="D16" s="77">
        <v>1</v>
      </c>
      <c r="E16" s="77">
        <v>1</v>
      </c>
      <c r="F16" s="77">
        <v>0</v>
      </c>
      <c r="G16" s="77">
        <f t="shared" si="0"/>
        <v>14</v>
      </c>
    </row>
    <row r="17" spans="1:7" x14ac:dyDescent="0.2">
      <c r="A17" s="77" t="b">
        <v>1</v>
      </c>
      <c r="B17" s="77">
        <v>0</v>
      </c>
      <c r="C17" s="77">
        <v>1</v>
      </c>
      <c r="D17" s="77">
        <v>1</v>
      </c>
      <c r="E17" s="77">
        <v>1</v>
      </c>
      <c r="F17" s="77">
        <v>1</v>
      </c>
      <c r="G17" s="77">
        <f t="shared" si="0"/>
        <v>15</v>
      </c>
    </row>
    <row r="18" spans="1:7" x14ac:dyDescent="0.2">
      <c r="A18" s="41" t="b">
        <v>1</v>
      </c>
      <c r="B18" s="77">
        <v>1</v>
      </c>
      <c r="C18" s="77">
        <v>0</v>
      </c>
      <c r="D18" s="77">
        <v>0</v>
      </c>
      <c r="E18" s="77">
        <v>0</v>
      </c>
      <c r="F18" s="77">
        <v>0</v>
      </c>
      <c r="G18" s="285">
        <f t="shared" si="0"/>
        <v>16</v>
      </c>
    </row>
    <row r="19" spans="1:7" x14ac:dyDescent="0.2">
      <c r="A19" s="41" t="b">
        <v>1</v>
      </c>
      <c r="B19" s="77">
        <v>1</v>
      </c>
      <c r="C19" s="77">
        <v>0</v>
      </c>
      <c r="D19" s="77">
        <v>0</v>
      </c>
      <c r="E19" s="77">
        <v>0</v>
      </c>
      <c r="F19" s="77">
        <v>1</v>
      </c>
      <c r="G19" s="285">
        <f t="shared" si="0"/>
        <v>17</v>
      </c>
    </row>
    <row r="20" spans="1:7" x14ac:dyDescent="0.2">
      <c r="A20" s="41" t="b">
        <v>1</v>
      </c>
      <c r="B20" s="77">
        <v>1</v>
      </c>
      <c r="C20" s="77">
        <v>0</v>
      </c>
      <c r="D20" s="77">
        <v>0</v>
      </c>
      <c r="E20" s="77">
        <v>1</v>
      </c>
      <c r="F20" s="77">
        <v>0</v>
      </c>
      <c r="G20" s="285">
        <f t="shared" si="0"/>
        <v>18</v>
      </c>
    </row>
    <row r="21" spans="1:7" x14ac:dyDescent="0.2">
      <c r="A21" s="41" t="b">
        <v>1</v>
      </c>
      <c r="B21" s="77">
        <v>1</v>
      </c>
      <c r="C21" s="77">
        <v>0</v>
      </c>
      <c r="D21" s="77">
        <v>0</v>
      </c>
      <c r="E21" s="77">
        <v>1</v>
      </c>
      <c r="F21" s="77">
        <v>1</v>
      </c>
      <c r="G21" s="285">
        <f t="shared" si="0"/>
        <v>19</v>
      </c>
    </row>
    <row r="22" spans="1:7" x14ac:dyDescent="0.2">
      <c r="A22" s="41" t="b">
        <v>1</v>
      </c>
      <c r="B22" s="77">
        <v>1</v>
      </c>
      <c r="C22" s="77">
        <v>0</v>
      </c>
      <c r="D22" s="77">
        <v>1</v>
      </c>
      <c r="E22" s="77">
        <v>0</v>
      </c>
      <c r="F22" s="77">
        <v>0</v>
      </c>
      <c r="G22" s="285">
        <f t="shared" si="0"/>
        <v>20</v>
      </c>
    </row>
    <row r="23" spans="1:7" x14ac:dyDescent="0.2">
      <c r="A23" s="41" t="b">
        <v>1</v>
      </c>
      <c r="B23" s="77">
        <v>1</v>
      </c>
      <c r="C23" s="77">
        <v>0</v>
      </c>
      <c r="D23" s="77">
        <v>1</v>
      </c>
      <c r="E23" s="77">
        <v>0</v>
      </c>
      <c r="F23" s="77">
        <v>1</v>
      </c>
      <c r="G23" s="285">
        <f t="shared" si="0"/>
        <v>21</v>
      </c>
    </row>
    <row r="24" spans="1:7" x14ac:dyDescent="0.2">
      <c r="A24" s="41" t="b">
        <v>1</v>
      </c>
      <c r="B24" s="77">
        <v>1</v>
      </c>
      <c r="C24" s="77">
        <v>0</v>
      </c>
      <c r="D24" s="77">
        <v>1</v>
      </c>
      <c r="E24" s="77">
        <v>1</v>
      </c>
      <c r="F24" s="77">
        <v>0</v>
      </c>
      <c r="G24" s="285">
        <f t="shared" si="0"/>
        <v>22</v>
      </c>
    </row>
    <row r="25" spans="1:7" x14ac:dyDescent="0.2">
      <c r="A25" s="41" t="b">
        <v>1</v>
      </c>
      <c r="B25" s="77">
        <v>1</v>
      </c>
      <c r="C25" s="77">
        <v>0</v>
      </c>
      <c r="D25" s="77">
        <v>1</v>
      </c>
      <c r="E25" s="77">
        <v>1</v>
      </c>
      <c r="F25" s="77">
        <v>1</v>
      </c>
      <c r="G25" s="285">
        <f t="shared" si="0"/>
        <v>23</v>
      </c>
    </row>
    <row r="26" spans="1:7" x14ac:dyDescent="0.2">
      <c r="A26" s="41" t="b">
        <v>1</v>
      </c>
      <c r="B26" s="77">
        <v>1</v>
      </c>
      <c r="C26" s="77">
        <v>1</v>
      </c>
      <c r="D26" s="77">
        <v>0</v>
      </c>
      <c r="E26" s="77">
        <v>0</v>
      </c>
      <c r="F26" s="77">
        <v>0</v>
      </c>
      <c r="G26" s="285">
        <f t="shared" si="0"/>
        <v>24</v>
      </c>
    </row>
    <row r="27" spans="1:7" x14ac:dyDescent="0.2">
      <c r="A27" s="41" t="b">
        <v>1</v>
      </c>
      <c r="B27" s="77">
        <v>1</v>
      </c>
      <c r="C27" s="77">
        <v>1</v>
      </c>
      <c r="D27" s="77">
        <v>0</v>
      </c>
      <c r="E27" s="77">
        <v>0</v>
      </c>
      <c r="F27" s="77">
        <v>1</v>
      </c>
      <c r="G27" s="285">
        <f t="shared" si="0"/>
        <v>25</v>
      </c>
    </row>
    <row r="28" spans="1:7" x14ac:dyDescent="0.2">
      <c r="A28" s="41" t="b">
        <v>1</v>
      </c>
      <c r="B28" s="77">
        <v>1</v>
      </c>
      <c r="C28" s="77">
        <v>1</v>
      </c>
      <c r="D28" s="77">
        <v>0</v>
      </c>
      <c r="E28" s="77">
        <v>1</v>
      </c>
      <c r="F28" s="77">
        <v>0</v>
      </c>
      <c r="G28" s="285">
        <f t="shared" si="0"/>
        <v>26</v>
      </c>
    </row>
    <row r="29" spans="1:7" x14ac:dyDescent="0.2">
      <c r="A29" s="41" t="b">
        <v>0</v>
      </c>
      <c r="B29" s="77">
        <v>1</v>
      </c>
      <c r="C29" s="77">
        <v>1</v>
      </c>
      <c r="D29" s="77">
        <v>0</v>
      </c>
      <c r="E29" s="77">
        <v>1</v>
      </c>
      <c r="F29" s="77">
        <v>1</v>
      </c>
      <c r="G29" s="285">
        <f t="shared" si="0"/>
        <v>27</v>
      </c>
    </row>
    <row r="30" spans="1:7" x14ac:dyDescent="0.2">
      <c r="A30" s="41" t="b">
        <v>1</v>
      </c>
      <c r="B30" s="77">
        <v>1</v>
      </c>
      <c r="C30" s="77">
        <v>1</v>
      </c>
      <c r="D30" s="77">
        <v>1</v>
      </c>
      <c r="E30" s="77">
        <v>0</v>
      </c>
      <c r="F30" s="77">
        <v>0</v>
      </c>
      <c r="G30" s="285">
        <f t="shared" si="0"/>
        <v>28</v>
      </c>
    </row>
    <row r="31" spans="1:7" x14ac:dyDescent="0.2">
      <c r="A31" s="41" t="b">
        <v>0</v>
      </c>
      <c r="B31" s="77">
        <v>1</v>
      </c>
      <c r="C31" s="77">
        <v>1</v>
      </c>
      <c r="D31" s="77">
        <v>1</v>
      </c>
      <c r="E31" s="77">
        <v>0</v>
      </c>
      <c r="F31" s="77">
        <v>1</v>
      </c>
      <c r="G31" s="285">
        <f t="shared" si="0"/>
        <v>29</v>
      </c>
    </row>
    <row r="32" spans="1:7" x14ac:dyDescent="0.2">
      <c r="A32" s="41" t="b">
        <v>0</v>
      </c>
      <c r="B32" s="77">
        <v>1</v>
      </c>
      <c r="C32" s="77">
        <v>1</v>
      </c>
      <c r="D32" s="77">
        <v>1</v>
      </c>
      <c r="E32" s="77">
        <v>1</v>
      </c>
      <c r="F32" s="77">
        <v>0</v>
      </c>
      <c r="G32" s="285">
        <f t="shared" si="0"/>
        <v>30</v>
      </c>
    </row>
    <row r="33" spans="1:7" x14ac:dyDescent="0.2">
      <c r="A33" s="41" t="b">
        <v>0</v>
      </c>
      <c r="B33" s="77">
        <v>1</v>
      </c>
      <c r="C33" s="77">
        <v>1</v>
      </c>
      <c r="D33" s="77">
        <v>1</v>
      </c>
      <c r="E33" s="77">
        <v>1</v>
      </c>
      <c r="F33" s="77">
        <v>1</v>
      </c>
      <c r="G33" s="285">
        <f t="shared" si="0"/>
        <v>31</v>
      </c>
    </row>
  </sheetData>
  <mergeCells count="5">
    <mergeCell ref="I3:N3"/>
    <mergeCell ref="I4:N4"/>
    <mergeCell ref="I5:N5"/>
    <mergeCell ref="I8:L8"/>
    <mergeCell ref="I9:L10"/>
  </mergeCells>
  <conditionalFormatting sqref="A2:A33">
    <cfRule type="cellIs" dxfId="3" priority="1" operator="equal">
      <formula>TRUE</formula>
    </cfRule>
    <cfRule type="cellIs" dxfId="2" priority="2" operator="equal">
      <formula>FALSE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B774-C70A-5E4B-88C2-41887C269CC0}">
  <dimension ref="A1:H22"/>
  <sheetViews>
    <sheetView zoomScale="194" workbookViewId="0">
      <selection sqref="A1:F17"/>
    </sheetView>
  </sheetViews>
  <sheetFormatPr baseColWidth="10" defaultRowHeight="15" x14ac:dyDescent="0.2"/>
  <cols>
    <col min="1" max="1" width="12.1640625" style="76" bestFit="1" customWidth="1"/>
    <col min="2" max="5" width="8.1640625" style="76" bestFit="1" customWidth="1"/>
    <col min="6" max="6" width="8.6640625" style="76" bestFit="1" customWidth="1"/>
    <col min="7" max="16384" width="10.83203125" style="76"/>
  </cols>
  <sheetData>
    <row r="1" spans="1:8" x14ac:dyDescent="0.2">
      <c r="A1" s="78" t="s">
        <v>116</v>
      </c>
      <c r="B1" s="78" t="s">
        <v>8</v>
      </c>
      <c r="C1" s="78" t="s">
        <v>7</v>
      </c>
      <c r="D1" s="78" t="s">
        <v>6</v>
      </c>
      <c r="E1" s="78" t="s">
        <v>5</v>
      </c>
      <c r="F1" s="78" t="s">
        <v>118</v>
      </c>
      <c r="G1" s="235" t="s">
        <v>117</v>
      </c>
      <c r="H1" s="235"/>
    </row>
    <row r="2" spans="1:8" x14ac:dyDescent="0.2">
      <c r="A2" s="77" t="b">
        <v>1</v>
      </c>
      <c r="B2" s="77">
        <v>0</v>
      </c>
      <c r="C2" s="77">
        <v>0</v>
      </c>
      <c r="D2" s="77">
        <v>0</v>
      </c>
      <c r="E2" s="77">
        <v>0</v>
      </c>
      <c r="F2" s="77">
        <f t="shared" ref="F2:F17" si="0">B2*8+C2*4+(D2*2)+(E2*1)</f>
        <v>0</v>
      </c>
      <c r="G2" s="235"/>
      <c r="H2" s="235"/>
    </row>
    <row r="3" spans="1:8" x14ac:dyDescent="0.2">
      <c r="A3" s="77" t="b">
        <v>0</v>
      </c>
      <c r="B3" s="77">
        <v>0</v>
      </c>
      <c r="C3" s="77">
        <v>0</v>
      </c>
      <c r="D3" s="77">
        <v>0</v>
      </c>
      <c r="E3" s="77">
        <v>1</v>
      </c>
      <c r="F3" s="77">
        <f t="shared" si="0"/>
        <v>1</v>
      </c>
      <c r="G3" s="235"/>
      <c r="H3" s="235"/>
    </row>
    <row r="4" spans="1:8" x14ac:dyDescent="0.2">
      <c r="A4" s="77" t="b">
        <v>0</v>
      </c>
      <c r="B4" s="77">
        <v>0</v>
      </c>
      <c r="C4" s="77">
        <v>0</v>
      </c>
      <c r="D4" s="77">
        <v>1</v>
      </c>
      <c r="E4" s="77">
        <v>0</v>
      </c>
      <c r="F4" s="77">
        <f t="shared" si="0"/>
        <v>2</v>
      </c>
      <c r="G4" s="235"/>
      <c r="H4" s="235"/>
    </row>
    <row r="5" spans="1:8" x14ac:dyDescent="0.2">
      <c r="A5" s="77" t="b">
        <v>0</v>
      </c>
      <c r="B5" s="77">
        <v>0</v>
      </c>
      <c r="C5" s="77">
        <v>0</v>
      </c>
      <c r="D5" s="77">
        <v>1</v>
      </c>
      <c r="E5" s="77">
        <v>1</v>
      </c>
      <c r="F5" s="77">
        <f t="shared" si="0"/>
        <v>3</v>
      </c>
    </row>
    <row r="6" spans="1:8" x14ac:dyDescent="0.2">
      <c r="A6" s="77" t="b">
        <v>1</v>
      </c>
      <c r="B6" s="77">
        <v>0</v>
      </c>
      <c r="C6" s="77">
        <v>1</v>
      </c>
      <c r="D6" s="77">
        <v>0</v>
      </c>
      <c r="E6" s="77">
        <v>0</v>
      </c>
      <c r="F6" s="77">
        <f t="shared" si="0"/>
        <v>4</v>
      </c>
    </row>
    <row r="7" spans="1:8" x14ac:dyDescent="0.2">
      <c r="A7" s="77" t="b">
        <v>1</v>
      </c>
      <c r="B7" s="77">
        <v>0</v>
      </c>
      <c r="C7" s="77">
        <v>1</v>
      </c>
      <c r="D7" s="77">
        <v>0</v>
      </c>
      <c r="E7" s="77">
        <v>1</v>
      </c>
      <c r="F7" s="77">
        <f t="shared" si="0"/>
        <v>5</v>
      </c>
    </row>
    <row r="8" spans="1:8" x14ac:dyDescent="0.2">
      <c r="A8" s="77" t="b">
        <v>1</v>
      </c>
      <c r="B8" s="77">
        <v>0</v>
      </c>
      <c r="C8" s="77">
        <v>1</v>
      </c>
      <c r="D8" s="77">
        <v>1</v>
      </c>
      <c r="E8" s="77">
        <v>0</v>
      </c>
      <c r="F8" s="77">
        <f t="shared" si="0"/>
        <v>6</v>
      </c>
    </row>
    <row r="9" spans="1:8" x14ac:dyDescent="0.2">
      <c r="A9" s="77" t="b">
        <v>1</v>
      </c>
      <c r="B9" s="77">
        <v>0</v>
      </c>
      <c r="C9" s="77">
        <v>1</v>
      </c>
      <c r="D9" s="77">
        <v>1</v>
      </c>
      <c r="E9" s="77">
        <v>1</v>
      </c>
      <c r="F9" s="77">
        <f t="shared" si="0"/>
        <v>7</v>
      </c>
    </row>
    <row r="10" spans="1:8" x14ac:dyDescent="0.2">
      <c r="A10" s="77" t="b">
        <v>1</v>
      </c>
      <c r="B10" s="77">
        <v>1</v>
      </c>
      <c r="C10" s="77">
        <v>0</v>
      </c>
      <c r="D10" s="77">
        <v>0</v>
      </c>
      <c r="E10" s="77">
        <v>0</v>
      </c>
      <c r="F10" s="77">
        <f t="shared" si="0"/>
        <v>8</v>
      </c>
    </row>
    <row r="11" spans="1:8" x14ac:dyDescent="0.2">
      <c r="A11" s="77" t="b">
        <v>1</v>
      </c>
      <c r="B11" s="77">
        <v>1</v>
      </c>
      <c r="C11" s="77">
        <v>0</v>
      </c>
      <c r="D11" s="77">
        <v>0</v>
      </c>
      <c r="E11" s="77">
        <v>1</v>
      </c>
      <c r="F11" s="77">
        <f t="shared" si="0"/>
        <v>9</v>
      </c>
    </row>
    <row r="12" spans="1:8" x14ac:dyDescent="0.2">
      <c r="A12" s="77" t="b">
        <v>1</v>
      </c>
      <c r="B12" s="77">
        <v>1</v>
      </c>
      <c r="C12" s="77">
        <v>0</v>
      </c>
      <c r="D12" s="77">
        <v>1</v>
      </c>
      <c r="E12" s="77">
        <v>0</v>
      </c>
      <c r="F12" s="77">
        <f t="shared" si="0"/>
        <v>10</v>
      </c>
    </row>
    <row r="13" spans="1:8" x14ac:dyDescent="0.2">
      <c r="A13" s="77" t="b">
        <v>1</v>
      </c>
      <c r="B13" s="77">
        <v>1</v>
      </c>
      <c r="C13" s="77">
        <v>0</v>
      </c>
      <c r="D13" s="77">
        <v>1</v>
      </c>
      <c r="E13" s="77">
        <v>1</v>
      </c>
      <c r="F13" s="77">
        <f t="shared" si="0"/>
        <v>11</v>
      </c>
    </row>
    <row r="14" spans="1:8" x14ac:dyDescent="0.2">
      <c r="A14" s="77" t="b">
        <v>1</v>
      </c>
      <c r="B14" s="77">
        <v>1</v>
      </c>
      <c r="C14" s="77">
        <v>1</v>
      </c>
      <c r="D14" s="77">
        <v>0</v>
      </c>
      <c r="E14" s="77">
        <v>0</v>
      </c>
      <c r="F14" s="77">
        <f t="shared" si="0"/>
        <v>12</v>
      </c>
    </row>
    <row r="15" spans="1:8" x14ac:dyDescent="0.2">
      <c r="A15" s="77" t="b">
        <v>0</v>
      </c>
      <c r="B15" s="77">
        <v>1</v>
      </c>
      <c r="C15" s="77">
        <v>1</v>
      </c>
      <c r="D15" s="77">
        <v>0</v>
      </c>
      <c r="E15" s="77">
        <v>1</v>
      </c>
      <c r="F15" s="77">
        <f t="shared" si="0"/>
        <v>13</v>
      </c>
    </row>
    <row r="16" spans="1:8" x14ac:dyDescent="0.2">
      <c r="A16" s="77" t="b">
        <v>0</v>
      </c>
      <c r="B16" s="77">
        <v>1</v>
      </c>
      <c r="C16" s="77">
        <v>1</v>
      </c>
      <c r="D16" s="77">
        <v>1</v>
      </c>
      <c r="E16" s="77">
        <v>0</v>
      </c>
      <c r="F16" s="77">
        <f t="shared" si="0"/>
        <v>14</v>
      </c>
    </row>
    <row r="17" spans="1:6" x14ac:dyDescent="0.2">
      <c r="A17" s="77" t="b">
        <v>0</v>
      </c>
      <c r="B17" s="77">
        <v>1</v>
      </c>
      <c r="C17" s="77">
        <v>1</v>
      </c>
      <c r="D17" s="77">
        <v>1</v>
      </c>
      <c r="E17" s="77">
        <v>1</v>
      </c>
      <c r="F17" s="77">
        <f t="shared" si="0"/>
        <v>15</v>
      </c>
    </row>
    <row r="18" spans="1:6" ht="16" thickBot="1" x14ac:dyDescent="0.25"/>
    <row r="19" spans="1:6" x14ac:dyDescent="0.2">
      <c r="A19" s="217" t="s">
        <v>80</v>
      </c>
      <c r="B19" s="218"/>
      <c r="C19" s="218"/>
      <c r="D19" s="218"/>
      <c r="E19" s="218"/>
      <c r="F19" s="219"/>
    </row>
    <row r="20" spans="1:6" x14ac:dyDescent="0.2">
      <c r="A20" s="226" t="s">
        <v>79</v>
      </c>
      <c r="B20" s="227"/>
      <c r="C20" s="227"/>
      <c r="D20" s="227"/>
      <c r="E20" s="227"/>
      <c r="F20" s="228"/>
    </row>
    <row r="21" spans="1:6" x14ac:dyDescent="0.2">
      <c r="A21" s="229" t="s">
        <v>78</v>
      </c>
      <c r="B21" s="230"/>
      <c r="C21" s="230"/>
      <c r="D21" s="230"/>
      <c r="E21" s="230"/>
      <c r="F21" s="231"/>
    </row>
    <row r="22" spans="1:6" ht="16" thickBot="1" x14ac:dyDescent="0.25">
      <c r="A22" s="232" t="s">
        <v>114</v>
      </c>
      <c r="B22" s="233"/>
      <c r="C22" s="233"/>
      <c r="D22" s="233"/>
      <c r="E22" s="233"/>
      <c r="F22" s="234"/>
    </row>
  </sheetData>
  <mergeCells count="5">
    <mergeCell ref="A19:F19"/>
    <mergeCell ref="A20:F20"/>
    <mergeCell ref="A21:F21"/>
    <mergeCell ref="A22:F22"/>
    <mergeCell ref="G1:H4"/>
  </mergeCells>
  <conditionalFormatting sqref="A2:A17">
    <cfRule type="cellIs" dxfId="1" priority="1" operator="equal">
      <formula>TRUE</formula>
    </cfRule>
    <cfRule type="cellIs" dxfId="0" priority="2" operator="equal">
      <formula>FALSE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429C-5DEE-D64B-B6EB-66D85251A6AC}">
  <dimension ref="A1:E17"/>
  <sheetViews>
    <sheetView zoomScale="233" workbookViewId="0">
      <selection activeCell="A2" sqref="A2:D7"/>
    </sheetView>
  </sheetViews>
  <sheetFormatPr baseColWidth="10" defaultRowHeight="16" x14ac:dyDescent="0.2"/>
  <sheetData>
    <row r="1" spans="1:5" x14ac:dyDescent="0.2">
      <c r="A1" s="11" t="s">
        <v>8</v>
      </c>
      <c r="B1" s="11" t="s">
        <v>7</v>
      </c>
      <c r="C1" s="11" t="s">
        <v>6</v>
      </c>
      <c r="D1" s="11" t="s">
        <v>5</v>
      </c>
      <c r="E1" t="s">
        <v>81</v>
      </c>
    </row>
    <row r="2" spans="1:5" x14ac:dyDescent="0.2">
      <c r="A2" s="95">
        <v>0</v>
      </c>
      <c r="B2" s="95">
        <v>1</v>
      </c>
      <c r="C2" s="95">
        <v>1</v>
      </c>
      <c r="D2" s="95">
        <v>1</v>
      </c>
    </row>
    <row r="3" spans="1:5" x14ac:dyDescent="0.2">
      <c r="A3" s="95">
        <v>1</v>
      </c>
      <c r="B3" s="95">
        <v>0</v>
      </c>
      <c r="C3" s="95">
        <v>1</v>
      </c>
      <c r="D3" s="95">
        <v>1</v>
      </c>
    </row>
    <row r="4" spans="1:5" x14ac:dyDescent="0.2">
      <c r="A4" s="97">
        <v>1</v>
      </c>
      <c r="B4" s="97">
        <v>1</v>
      </c>
      <c r="C4" s="95">
        <v>0</v>
      </c>
      <c r="D4" s="95">
        <v>0</v>
      </c>
    </row>
    <row r="5" spans="1:5" x14ac:dyDescent="0.2">
      <c r="A5" s="95">
        <v>1</v>
      </c>
      <c r="B5" s="95">
        <v>0</v>
      </c>
      <c r="C5" s="95">
        <v>0</v>
      </c>
      <c r="D5" s="95">
        <v>0</v>
      </c>
    </row>
    <row r="6" spans="1:5" x14ac:dyDescent="0.2">
      <c r="A6" s="95">
        <v>1</v>
      </c>
      <c r="B6" s="95">
        <v>0</v>
      </c>
      <c r="C6" s="95">
        <v>0</v>
      </c>
      <c r="D6" s="95">
        <v>0</v>
      </c>
    </row>
    <row r="7" spans="1:5" x14ac:dyDescent="0.2">
      <c r="A7" s="95">
        <v>0</v>
      </c>
      <c r="B7" s="95">
        <v>0</v>
      </c>
      <c r="C7" s="95">
        <v>0</v>
      </c>
      <c r="D7" s="95">
        <v>0</v>
      </c>
    </row>
    <row r="8" spans="1:5" x14ac:dyDescent="0.2">
      <c r="A8" s="95"/>
      <c r="B8" s="95"/>
      <c r="C8" s="95"/>
      <c r="D8" s="95"/>
    </row>
    <row r="9" spans="1:5" x14ac:dyDescent="0.2">
      <c r="A9" s="95"/>
      <c r="B9" s="95"/>
      <c r="C9" s="95"/>
      <c r="D9" s="95"/>
    </row>
    <row r="10" spans="1:5" x14ac:dyDescent="0.2">
      <c r="A10" s="95"/>
      <c r="B10" s="95"/>
      <c r="C10" s="95"/>
      <c r="D10" s="95"/>
    </row>
    <row r="11" spans="1:5" x14ac:dyDescent="0.2">
      <c r="A11" s="95"/>
      <c r="B11" s="95"/>
      <c r="C11" s="95"/>
      <c r="D11" s="95"/>
    </row>
    <row r="12" spans="1:5" x14ac:dyDescent="0.2">
      <c r="A12" s="95"/>
      <c r="B12" s="95"/>
      <c r="C12" s="95"/>
      <c r="D12" s="95"/>
    </row>
    <row r="13" spans="1:5" x14ac:dyDescent="0.2">
      <c r="A13" s="95"/>
      <c r="B13" s="95"/>
      <c r="C13" s="95"/>
      <c r="D13" s="95"/>
    </row>
    <row r="14" spans="1:5" x14ac:dyDescent="0.2">
      <c r="A14" s="95"/>
      <c r="B14" s="95"/>
      <c r="C14" s="95"/>
      <c r="D14" s="95"/>
    </row>
    <row r="15" spans="1:5" x14ac:dyDescent="0.2">
      <c r="A15" s="95"/>
      <c r="B15" s="95"/>
      <c r="C15" s="95"/>
      <c r="D15" s="95"/>
    </row>
    <row r="16" spans="1:5" x14ac:dyDescent="0.2">
      <c r="A16" s="95"/>
      <c r="B16" s="95"/>
      <c r="C16" s="95"/>
      <c r="D16" s="95"/>
    </row>
    <row r="17" spans="1:4" x14ac:dyDescent="0.2">
      <c r="A17" s="96"/>
      <c r="B17" s="96"/>
      <c r="C17" s="96"/>
      <c r="D17" s="96"/>
    </row>
  </sheetData>
  <sortState xmlns:xlrd2="http://schemas.microsoft.com/office/spreadsheetml/2017/richdata2" ref="A2:E17">
    <sortCondition descending="1" ref="D2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LP Modeling 1.1</vt:lpstr>
      <vt:lpstr>LP Modeling 1.2</vt:lpstr>
      <vt:lpstr>LP Modeling 1.3</vt:lpstr>
      <vt:lpstr>Sensitivity Report</vt:lpstr>
      <vt:lpstr>Modeling Busines Logic 3.1</vt:lpstr>
      <vt:lpstr>Modeling Busines Logic 3.2</vt:lpstr>
      <vt:lpstr>Modeling Busines Logic 3.3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2021-03-27T09:15:56Z</dcterms:created>
  <dcterms:modified xsi:type="dcterms:W3CDTF">2021-04-17T18:15:41Z</dcterms:modified>
</cp:coreProperties>
</file>