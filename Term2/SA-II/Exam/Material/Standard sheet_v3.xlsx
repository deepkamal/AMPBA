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ks/AMPBA/Term2/SA-II/Exam/Material/"/>
    </mc:Choice>
  </mc:AlternateContent>
  <xr:revisionPtr revIDLastSave="0" documentId="13_ncr:1_{352F8622-2932-4249-BDF5-F7F5D9331B3B}" xr6:coauthVersionLast="47" xr6:coauthVersionMax="47" xr10:uidLastSave="{00000000-0000-0000-0000-000000000000}"/>
  <bookViews>
    <workbookView xWindow="-36780" yWindow="-16060" windowWidth="29240" windowHeight="25100" activeTab="3" xr2:uid="{01CA8F2B-D4E5-4C71-BBFB-3BB970555AAC}"/>
  </bookViews>
  <sheets>
    <sheet name="proportion testing" sheetId="2" r:id="rId1"/>
    <sheet name="Paired Sample t test" sheetId="3" r:id="rId2"/>
    <sheet name="Indep. Sample z test" sheetId="4" r:id="rId3"/>
    <sheet name="Indep. Sample t test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" l="1"/>
  <c r="D3" i="2"/>
  <c r="D28" i="7"/>
  <c r="D27" i="7"/>
  <c r="D26" i="7"/>
  <c r="D10" i="7"/>
  <c r="D11" i="7" s="1"/>
  <c r="D16" i="7" s="1"/>
  <c r="D12" i="7"/>
  <c r="H4" i="7" s="1"/>
  <c r="D8" i="4"/>
  <c r="J2" i="3"/>
  <c r="L2" i="3"/>
  <c r="D6" i="3"/>
  <c r="D11" i="3" s="1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7" i="3"/>
  <c r="P24" i="3" s="1"/>
  <c r="D7" i="3"/>
  <c r="K4" i="3" s="1"/>
  <c r="L8" i="3"/>
  <c r="L16" i="3" s="1"/>
  <c r="L9" i="3"/>
  <c r="L10" i="3"/>
  <c r="L11" i="3"/>
  <c r="L12" i="3"/>
  <c r="L13" i="3"/>
  <c r="L14" i="3"/>
  <c r="L15" i="3"/>
  <c r="L7" i="3"/>
  <c r="L18" i="3" s="1"/>
  <c r="I33" i="3"/>
  <c r="I32" i="3"/>
  <c r="H4" i="2"/>
  <c r="H3" i="2"/>
  <c r="D31" i="2" s="1"/>
  <c r="H2" i="2"/>
  <c r="G2" i="2"/>
  <c r="G4" i="2"/>
  <c r="G3" i="2"/>
  <c r="D28" i="2" s="1"/>
  <c r="D25" i="2"/>
  <c r="D9" i="2"/>
  <c r="L17" i="3" l="1"/>
  <c r="P22" i="3"/>
  <c r="P23" i="3"/>
  <c r="J3" i="3"/>
  <c r="D9" i="3" s="1"/>
  <c r="D30" i="2"/>
  <c r="D10" i="3"/>
  <c r="D11" i="2"/>
  <c r="D15" i="2"/>
  <c r="D14" i="2"/>
  <c r="D29" i="7"/>
  <c r="G22" i="7" s="1"/>
  <c r="G12" i="7"/>
  <c r="G2" i="7"/>
  <c r="G4" i="7"/>
  <c r="D14" i="3"/>
  <c r="K3" i="3"/>
  <c r="J4" i="3"/>
  <c r="K2" i="3"/>
  <c r="G3" i="7"/>
  <c r="H2" i="7"/>
  <c r="D13" i="7" s="1"/>
  <c r="H3" i="7"/>
  <c r="G9" i="7" s="1"/>
  <c r="D24" i="2"/>
  <c r="D26" i="2" s="1"/>
  <c r="D5" i="2"/>
  <c r="D8" i="2" s="1"/>
  <c r="G21" i="7" l="1"/>
  <c r="D33" i="7"/>
  <c r="D15" i="7"/>
  <c r="D29" i="2"/>
  <c r="D32" i="2"/>
  <c r="R7" i="3"/>
  <c r="R10" i="3" s="1"/>
  <c r="R6" i="3"/>
  <c r="D10" i="2"/>
  <c r="D16" i="2" s="1"/>
  <c r="H21" i="7"/>
  <c r="D31" i="7" s="1"/>
  <c r="D32" i="7" s="1"/>
  <c r="G20" i="7"/>
  <c r="H22" i="7"/>
  <c r="H20" i="7"/>
  <c r="D15" i="3"/>
  <c r="D17" i="3" s="1"/>
  <c r="R9" i="3" l="1"/>
  <c r="R11" i="3" s="1"/>
  <c r="R12" i="3" s="1"/>
  <c r="R8" i="3"/>
  <c r="D13" i="2"/>
  <c r="G10" i="7"/>
  <c r="G11" i="7"/>
  <c r="D16" i="3"/>
</calcChain>
</file>

<file path=xl/sharedStrings.xml><?xml version="1.0" encoding="utf-8"?>
<sst xmlns="http://schemas.openxmlformats.org/spreadsheetml/2006/main" count="174" uniqueCount="107">
  <si>
    <t>z</t>
  </si>
  <si>
    <t>p1</t>
  </si>
  <si>
    <t>p2</t>
  </si>
  <si>
    <t>n1</t>
  </si>
  <si>
    <t>n2</t>
  </si>
  <si>
    <t>(x1+ x2)/(n1+n2)</t>
  </si>
  <si>
    <t>x1/n1</t>
  </si>
  <si>
    <t>x2/n2</t>
  </si>
  <si>
    <t>(p1-p2-0)/sqrt(p*(1-p)*(1/n1+1/n2))</t>
  </si>
  <si>
    <t>p*(1-p)</t>
  </si>
  <si>
    <t>1/n1 + 1/n2</t>
  </si>
  <si>
    <t>D</t>
  </si>
  <si>
    <t>(p1-p2-D)/sqrt({p1*(1-p1)/n1} + {p2*(1-p2)/n2})</t>
  </si>
  <si>
    <t>p1*(1-p1)/n1</t>
  </si>
  <si>
    <t>p2*(1-p2)/n2</t>
  </si>
  <si>
    <t>z at 95% CI</t>
  </si>
  <si>
    <t>z at 99% CI</t>
  </si>
  <si>
    <t>z at 90% CI</t>
  </si>
  <si>
    <t>Conclusion</t>
  </si>
  <si>
    <t>Input CI</t>
  </si>
  <si>
    <t>One Sided</t>
  </si>
  <si>
    <t>Two Sided</t>
  </si>
  <si>
    <t>Input CI, 1 and 2 sided</t>
  </si>
  <si>
    <t>Conclusion,</t>
  </si>
  <si>
    <t>D_bar</t>
  </si>
  <si>
    <t>mu_D_0</t>
  </si>
  <si>
    <t>s_D</t>
  </si>
  <si>
    <t>n</t>
  </si>
  <si>
    <t>t</t>
  </si>
  <si>
    <t>(D_bar - mu_D_0)/(s_D/sqrt(n))</t>
  </si>
  <si>
    <t>Sample Average Difference between each pair of obs.
Calculate difference between each pair then calculate average of diff.</t>
  </si>
  <si>
    <t>population mean difference</t>
  </si>
  <si>
    <t>H0</t>
  </si>
  <si>
    <t>H1</t>
  </si>
  <si>
    <t>mu_D &lt;=0</t>
  </si>
  <si>
    <t>mu_D &gt;0</t>
  </si>
  <si>
    <t>t at 90% CI</t>
  </si>
  <si>
    <t>t at 95% CI</t>
  </si>
  <si>
    <t>t at 99% CI</t>
  </si>
  <si>
    <t>df</t>
  </si>
  <si>
    <t>degree of freedom</t>
  </si>
  <si>
    <t>Data to enter is highlighted</t>
  </si>
  <si>
    <t>Confidence Interval Calculation</t>
  </si>
  <si>
    <t>Std error</t>
  </si>
  <si>
    <t>s_D/sqrt(n)</t>
  </si>
  <si>
    <t>t_alpha/2</t>
  </si>
  <si>
    <t>Upper Limit</t>
  </si>
  <si>
    <t>D_bar + t_alpha/2*s_D/sqrt(n)</t>
  </si>
  <si>
    <t>Lower Limit</t>
  </si>
  <si>
    <t>D_bar - t_alpha/2*s_D/sqrt(n)</t>
  </si>
  <si>
    <t>Choose values from column K based upon CI</t>
  </si>
  <si>
    <t>X1_bar</t>
  </si>
  <si>
    <t>X2_bar</t>
  </si>
  <si>
    <t>sigma1</t>
  </si>
  <si>
    <t>sigma2</t>
  </si>
  <si>
    <t>Z</t>
  </si>
  <si>
    <t>((X1_bar - X2_bar) - (mu1 - mu2)0)/sqrt(sigma1^2/n1 + sigma2^2/n2)</t>
  </si>
  <si>
    <t>Before</t>
  </si>
  <si>
    <t>After</t>
  </si>
  <si>
    <t>sd</t>
  </si>
  <si>
    <t>(p1-p2) + Z_alpha/2 * sqrt(p1*(1-p1)/n1 + p2*(1-p2)/n2)</t>
  </si>
  <si>
    <t>(p1-p2) - Z_alpha/2 * sqrt(p1*(1-p1)/n1 + p2*(1-p2)/n2)</t>
  </si>
  <si>
    <t>CI upper limit</t>
  </si>
  <si>
    <t>CI Lower limit</t>
  </si>
  <si>
    <t>S1</t>
  </si>
  <si>
    <t>S2</t>
  </si>
  <si>
    <t>[(n1-1) * S1^2 + (n2-1) * S2^2] / (n1+n2 - 2)</t>
  </si>
  <si>
    <t>n1+n2 - 2</t>
  </si>
  <si>
    <t>(mu1 - mu2)0</t>
  </si>
  <si>
    <t>[(X1_bar - X2_bar) - (mu1 - mu2)0]/sqrt(Sp^2 *(1/n1 + 1/n2))</t>
  </si>
  <si>
    <t>Sp^2</t>
  </si>
  <si>
    <t>t_critical</t>
  </si>
  <si>
    <t>Philips - Braun 8.1</t>
  </si>
  <si>
    <t>verage</t>
  </si>
  <si>
    <t>M</t>
  </si>
  <si>
    <t>C</t>
  </si>
  <si>
    <t>M-C</t>
  </si>
  <si>
    <t>average</t>
  </si>
  <si>
    <t>count</t>
  </si>
  <si>
    <t>Problem 8.3</t>
  </si>
  <si>
    <t>Problem 8.5</t>
  </si>
  <si>
    <t>After - Befpre</t>
  </si>
  <si>
    <t>averahe</t>
  </si>
  <si>
    <t>coun</t>
  </si>
  <si>
    <t>std</t>
  </si>
  <si>
    <t>((X1_bar - X2_bar) - (mu1-mu2)0)/sqrt(S1^2/n1 + S2^2/n2)</t>
  </si>
  <si>
    <t>(S1^2/n1 + S2^2/n2)^2</t>
  </si>
  <si>
    <t>df_num</t>
  </si>
  <si>
    <t>df_denom</t>
  </si>
  <si>
    <t>(S1^2/n1)^2 /(n1-1) + (S2^2/n2)^2 /(n2-1)</t>
  </si>
  <si>
    <t>lower_lim(df_num/df_denom)</t>
  </si>
  <si>
    <t>std error</t>
  </si>
  <si>
    <t>Zalpha/2 * sqrt( sigma1^1/n1 + sigma2^2/n2)</t>
  </si>
  <si>
    <t>(X1_bar - X2_bar) + std error</t>
  </si>
  <si>
    <t>CI lower limit</t>
  </si>
  <si>
    <t>(X1_bar - X2_bar) - std error</t>
  </si>
  <si>
    <t>pvalue</t>
  </si>
  <si>
    <t>two</t>
  </si>
  <si>
    <t>left/right sided or two sided test??</t>
  </si>
  <si>
    <t>enter left, right or two in D28</t>
  </si>
  <si>
    <t>right</t>
  </si>
  <si>
    <t>z_critical</t>
  </si>
  <si>
    <t>pop std ≠</t>
  </si>
  <si>
    <t>pop std =</t>
  </si>
  <si>
    <t>D=0</t>
  </si>
  <si>
    <t>D≠0</t>
  </si>
  <si>
    <t>pool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</si>
</sst>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0" xfId="0" applyAlignment="1"/>
    <xf numFmtId="0" fontId="0" fillId="0" borderId="5" xfId="0" applyBorder="1"/>
    <xf numFmtId="0" fontId="0" fillId="0" borderId="4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0" fontId="0" fillId="2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9B31-D97C-4A8E-B3E9-8A5517EC2BA5}">
  <dimension ref="B1:H32"/>
  <sheetViews>
    <sheetView zoomScale="200" workbookViewId="0">
      <selection activeCell="D12" sqref="D12"/>
    </sheetView>
  </sheetViews>
  <sheetFormatPr baseColWidth="10" defaultColWidth="8.83203125" defaultRowHeight="15" x14ac:dyDescent="0.2"/>
  <cols>
    <col min="1" max="1" width="8.83203125" style="12"/>
    <col min="2" max="2" width="27.33203125" style="20" bestFit="1" customWidth="1"/>
    <col min="3" max="3" width="5.6640625" style="12" customWidth="1"/>
    <col min="4" max="4" width="12" style="12" bestFit="1" customWidth="1"/>
    <col min="5" max="5" width="8.83203125" style="12"/>
    <col min="6" max="6" width="9.83203125" style="12" bestFit="1" customWidth="1"/>
    <col min="7" max="7" width="10.33203125" style="12" customWidth="1"/>
    <col min="8" max="8" width="9.33203125" style="12" bestFit="1" customWidth="1"/>
    <col min="9" max="16384" width="8.83203125" style="12"/>
  </cols>
  <sheetData>
    <row r="1" spans="2:8" x14ac:dyDescent="0.2">
      <c r="F1" s="13"/>
      <c r="G1" s="13" t="s">
        <v>20</v>
      </c>
      <c r="H1" s="13" t="s">
        <v>21</v>
      </c>
    </row>
    <row r="2" spans="2:8" x14ac:dyDescent="0.2">
      <c r="B2" s="19" t="s">
        <v>104</v>
      </c>
      <c r="C2" s="19"/>
      <c r="D2" s="19"/>
      <c r="F2" s="13" t="s">
        <v>17</v>
      </c>
      <c r="G2" s="13">
        <f xml:space="preserve"> _xlfn.NORM.S.INV(0.9)</f>
        <v>1.2815515655446006</v>
      </c>
      <c r="H2" s="13">
        <f xml:space="preserve"> _xlfn.NORM.S.INV(0.95)</f>
        <v>1.6448536269514715</v>
      </c>
    </row>
    <row r="3" spans="2:8" x14ac:dyDescent="0.2">
      <c r="B3" s="21" t="s">
        <v>1</v>
      </c>
      <c r="C3" s="13" t="s">
        <v>6</v>
      </c>
      <c r="D3" s="13">
        <f>101/120</f>
        <v>0.84166666666666667</v>
      </c>
      <c r="F3" s="13" t="s">
        <v>15</v>
      </c>
      <c r="G3" s="13">
        <f xml:space="preserve"> _xlfn.NORM.S.INV(0.95)</f>
        <v>1.6448536269514715</v>
      </c>
      <c r="H3" s="13">
        <f xml:space="preserve"> _xlfn.NORM.S.INV(0.975)</f>
        <v>1.9599639845400536</v>
      </c>
    </row>
    <row r="4" spans="2:8" x14ac:dyDescent="0.2">
      <c r="B4" s="21" t="s">
        <v>2</v>
      </c>
      <c r="C4" s="13" t="s">
        <v>7</v>
      </c>
      <c r="D4" s="13">
        <f>110/200</f>
        <v>0.55000000000000004</v>
      </c>
      <c r="F4" s="13" t="s">
        <v>16</v>
      </c>
      <c r="G4" s="13">
        <f xml:space="preserve"> _xlfn.NORM.S.INV(0.99)</f>
        <v>2.3263478740408408</v>
      </c>
      <c r="H4" s="13">
        <f xml:space="preserve"> _xlfn.NORM.S.INV(0.995)</f>
        <v>2.5758293035488999</v>
      </c>
    </row>
    <row r="5" spans="2:8" x14ac:dyDescent="0.2">
      <c r="B5" s="21" t="s">
        <v>106</v>
      </c>
      <c r="C5" s="13" t="s">
        <v>5</v>
      </c>
      <c r="D5" s="13">
        <f xml:space="preserve"> (D3*D6 + D4*D7)/(D7+D6)</f>
        <v>0.65937500000000004</v>
      </c>
    </row>
    <row r="6" spans="2:8" x14ac:dyDescent="0.2">
      <c r="B6" s="21" t="s">
        <v>3</v>
      </c>
      <c r="C6" s="13"/>
      <c r="D6" s="13">
        <v>120</v>
      </c>
    </row>
    <row r="7" spans="2:8" x14ac:dyDescent="0.2">
      <c r="B7" s="21" t="s">
        <v>4</v>
      </c>
      <c r="C7" s="13"/>
      <c r="D7" s="13">
        <v>200</v>
      </c>
    </row>
    <row r="8" spans="2:8" x14ac:dyDescent="0.2">
      <c r="B8" s="21"/>
      <c r="C8" s="13" t="s">
        <v>9</v>
      </c>
      <c r="D8" s="13">
        <f>D5*(1-D5)</f>
        <v>0.22459960937499998</v>
      </c>
    </row>
    <row r="9" spans="2:8" x14ac:dyDescent="0.2">
      <c r="B9" s="21"/>
      <c r="C9" s="13" t="s">
        <v>10</v>
      </c>
      <c r="D9" s="13">
        <f xml:space="preserve"> 1/D6+1/D7</f>
        <v>1.3333333333333332E-2</v>
      </c>
    </row>
    <row r="10" spans="2:8" x14ac:dyDescent="0.2">
      <c r="B10" s="21" t="s">
        <v>0</v>
      </c>
      <c r="C10" s="13" t="s">
        <v>8</v>
      </c>
      <c r="D10" s="13">
        <f xml:space="preserve"> (D3-D4-0)/SQRT(D8*D9)</f>
        <v>5.3298247804037002</v>
      </c>
    </row>
    <row r="11" spans="2:8" x14ac:dyDescent="0.2">
      <c r="B11" s="21" t="s">
        <v>101</v>
      </c>
      <c r="C11" s="13" t="s">
        <v>22</v>
      </c>
      <c r="D11" s="13">
        <f>G3</f>
        <v>1.6448536269514715</v>
      </c>
    </row>
    <row r="12" spans="2:8" x14ac:dyDescent="0.2">
      <c r="B12" s="21" t="s">
        <v>98</v>
      </c>
      <c r="C12" s="15" t="s">
        <v>99</v>
      </c>
      <c r="D12" s="13" t="s">
        <v>100</v>
      </c>
    </row>
    <row r="13" spans="2:8" x14ac:dyDescent="0.2">
      <c r="B13" s="21"/>
      <c r="C13" s="13" t="s">
        <v>23</v>
      </c>
      <c r="D13" s="13" t="str">
        <f>IF(AND(D12="left",ABS(D10)&gt;D11),"reject",IF(AND(D12="right",D10&gt;D11),"reject",IF(AND(D12="two",ABS(D10)&gt;D11),"reject","fail to reject")))</f>
        <v>reject</v>
      </c>
    </row>
    <row r="14" spans="2:8" x14ac:dyDescent="0.2">
      <c r="B14" s="21" t="s">
        <v>62</v>
      </c>
      <c r="C14" s="13" t="s">
        <v>60</v>
      </c>
      <c r="D14" s="13">
        <f xml:space="preserve"> (D3-D4) + H4 * SQRT(D3*(1-D3)/D6 + D4*(1-D4)/D7)</f>
        <v>0.41648233971694931</v>
      </c>
    </row>
    <row r="15" spans="2:8" x14ac:dyDescent="0.2">
      <c r="B15" s="21" t="s">
        <v>63</v>
      </c>
      <c r="C15" s="13" t="s">
        <v>61</v>
      </c>
      <c r="D15" s="13">
        <f xml:space="preserve"> (D3-D4) - H4 * SQRT(D3*(1-D3)/D6 + D4*(1-D4)/D7)</f>
        <v>0.16685099361638395</v>
      </c>
    </row>
    <row r="16" spans="2:8" x14ac:dyDescent="0.2">
      <c r="B16" s="21" t="s">
        <v>96</v>
      </c>
      <c r="C16" s="13"/>
      <c r="D16" s="13">
        <f xml:space="preserve"> 1 - _xlfn.NORM.S.DIST(D10,TRUE)</f>
        <v>4.9153783598931966E-8</v>
      </c>
    </row>
    <row r="18" spans="2:4" x14ac:dyDescent="0.2">
      <c r="B18" s="19" t="s">
        <v>105</v>
      </c>
      <c r="C18" s="19"/>
      <c r="D18" s="19"/>
    </row>
    <row r="19" spans="2:4" x14ac:dyDescent="0.2">
      <c r="B19" s="21" t="s">
        <v>1</v>
      </c>
      <c r="C19" s="13" t="s">
        <v>6</v>
      </c>
      <c r="D19" s="13">
        <v>0.19</v>
      </c>
    </row>
    <row r="20" spans="2:4" x14ac:dyDescent="0.2">
      <c r="B20" s="21" t="s">
        <v>2</v>
      </c>
      <c r="C20" s="13" t="s">
        <v>7</v>
      </c>
      <c r="D20" s="13">
        <v>0.13</v>
      </c>
    </row>
    <row r="21" spans="2:4" x14ac:dyDescent="0.2">
      <c r="B21" s="21" t="s">
        <v>3</v>
      </c>
      <c r="C21" s="13"/>
      <c r="D21" s="13">
        <v>5000</v>
      </c>
    </row>
    <row r="22" spans="2:4" x14ac:dyDescent="0.2">
      <c r="B22" s="21" t="s">
        <v>4</v>
      </c>
      <c r="C22" s="13"/>
      <c r="D22" s="13">
        <v>2060</v>
      </c>
    </row>
    <row r="23" spans="2:4" x14ac:dyDescent="0.2">
      <c r="B23" s="21" t="s">
        <v>11</v>
      </c>
      <c r="C23" s="13"/>
      <c r="D23" s="13">
        <v>0.05</v>
      </c>
    </row>
    <row r="24" spans="2:4" x14ac:dyDescent="0.2">
      <c r="B24" s="21"/>
      <c r="C24" s="13" t="s">
        <v>13</v>
      </c>
      <c r="D24" s="13">
        <f xml:space="preserve"> D19*(1-D19)/D21</f>
        <v>3.078E-5</v>
      </c>
    </row>
    <row r="25" spans="2:4" x14ac:dyDescent="0.2">
      <c r="B25" s="21"/>
      <c r="C25" s="13" t="s">
        <v>14</v>
      </c>
      <c r="D25" s="13">
        <f xml:space="preserve"> D20*(1-D20)/D22</f>
        <v>5.4902912621359225E-5</v>
      </c>
    </row>
    <row r="26" spans="2:4" x14ac:dyDescent="0.2">
      <c r="B26" s="21" t="s">
        <v>0</v>
      </c>
      <c r="C26" s="13" t="s">
        <v>12</v>
      </c>
      <c r="D26" s="13">
        <f>(D19-D20-D23)/SQRT(D24+D25)</f>
        <v>1.0803211770932752</v>
      </c>
    </row>
    <row r="27" spans="2:4" x14ac:dyDescent="0.2">
      <c r="B27" s="21" t="s">
        <v>98</v>
      </c>
      <c r="C27" s="15" t="s">
        <v>99</v>
      </c>
      <c r="D27" s="13" t="s">
        <v>100</v>
      </c>
    </row>
    <row r="28" spans="2:4" x14ac:dyDescent="0.2">
      <c r="B28" s="21" t="s">
        <v>101</v>
      </c>
      <c r="C28" s="13" t="s">
        <v>22</v>
      </c>
      <c r="D28" s="13">
        <f>G3</f>
        <v>1.6448536269514715</v>
      </c>
    </row>
    <row r="29" spans="2:4" x14ac:dyDescent="0.2">
      <c r="B29" s="21"/>
      <c r="C29" s="13" t="s">
        <v>23</v>
      </c>
      <c r="D29" s="13" t="str">
        <f>IF(AND(D27="left",ABS(D26)&gt;D28),"reject",IF(AND(D27="right",D26&gt;D28),"reject",IF(AND(D27="two",ABS(D26)&gt;D28),"reject","fail to reject")))</f>
        <v>fail to reject</v>
      </c>
    </row>
    <row r="30" spans="2:4" x14ac:dyDescent="0.2">
      <c r="B30" s="21" t="s">
        <v>62</v>
      </c>
      <c r="C30" s="13" t="s">
        <v>60</v>
      </c>
      <c r="D30" s="13">
        <f xml:space="preserve"> (D19-D20) + H3 * SQRT(D19*(1-D19)/D21 + D20*(1-D20)/D22)</f>
        <v>7.8142419366558691E-2</v>
      </c>
    </row>
    <row r="31" spans="2:4" x14ac:dyDescent="0.2">
      <c r="B31" s="21" t="s">
        <v>63</v>
      </c>
      <c r="C31" s="13" t="s">
        <v>61</v>
      </c>
      <c r="D31" s="13">
        <f xml:space="preserve"> (D19-D20) - H3 * SQRT(D19*(1-D19)/D21 + D20*(1-D20)/D22)</f>
        <v>4.1857580633441298E-2</v>
      </c>
    </row>
    <row r="32" spans="2:4" x14ac:dyDescent="0.2">
      <c r="B32" s="21" t="s">
        <v>96</v>
      </c>
      <c r="C32" s="13"/>
      <c r="D32" s="13">
        <f xml:space="preserve"> 1 - _xlfn.NORM.S.DIST(D26,TRUE)</f>
        <v>0.1399995912876183</v>
      </c>
    </row>
  </sheetData>
  <mergeCells count="2">
    <mergeCell ref="B2:D2"/>
    <mergeCell ref="B18:D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23911-A96C-4777-BAD6-533662DDE434}">
  <dimension ref="B1:R33"/>
  <sheetViews>
    <sheetView workbookViewId="0">
      <selection activeCell="L52" sqref="L52"/>
    </sheetView>
  </sheetViews>
  <sheetFormatPr baseColWidth="10" defaultColWidth="8.83203125" defaultRowHeight="15" x14ac:dyDescent="0.2"/>
  <cols>
    <col min="2" max="2" width="23.1640625" bestFit="1" customWidth="1"/>
    <col min="3" max="3" width="45.33203125" bestFit="1" customWidth="1"/>
    <col min="4" max="4" width="12.6640625" bestFit="1" customWidth="1"/>
    <col min="9" max="9" width="9.83203125" bestFit="1" customWidth="1"/>
    <col min="11" max="11" width="12" bestFit="1" customWidth="1"/>
  </cols>
  <sheetData>
    <row r="1" spans="2:18" x14ac:dyDescent="0.2">
      <c r="B1" s="12" t="s">
        <v>41</v>
      </c>
      <c r="C1" s="12"/>
      <c r="D1" s="12"/>
      <c r="I1" s="1"/>
      <c r="J1" s="1" t="s">
        <v>20</v>
      </c>
      <c r="K1" s="1" t="s">
        <v>21</v>
      </c>
    </row>
    <row r="2" spans="2:18" ht="48" x14ac:dyDescent="0.2">
      <c r="B2" s="13" t="s">
        <v>24</v>
      </c>
      <c r="C2" s="14" t="s">
        <v>30</v>
      </c>
      <c r="D2" s="13">
        <v>0.2</v>
      </c>
      <c r="F2" s="1" t="s">
        <v>32</v>
      </c>
      <c r="G2" s="1" t="s">
        <v>34</v>
      </c>
      <c r="I2" s="1" t="s">
        <v>36</v>
      </c>
      <c r="J2" s="1">
        <f xml:space="preserve"> _xlfn.T.INV(0.9,D7)</f>
        <v>1.2960657251220524</v>
      </c>
      <c r="K2" s="1">
        <f xml:space="preserve"> _xlfn.T.INV(0.95,D7)</f>
        <v>1.6710930321038919</v>
      </c>
      <c r="L2">
        <f>_xlfn.T.INV.2T(0.1,D7)</f>
        <v>1.6710930321038957</v>
      </c>
    </row>
    <row r="3" spans="2:18" x14ac:dyDescent="0.2">
      <c r="B3" s="13" t="s">
        <v>25</v>
      </c>
      <c r="C3" s="13" t="s">
        <v>31</v>
      </c>
      <c r="D3" s="13">
        <v>0</v>
      </c>
      <c r="F3" s="1" t="s">
        <v>33</v>
      </c>
      <c r="G3" s="1" t="s">
        <v>35</v>
      </c>
      <c r="I3" s="2" t="s">
        <v>37</v>
      </c>
      <c r="J3" s="1">
        <f xml:space="preserve"> _xlfn.T.INV(0.95,D7)</f>
        <v>1.6710930321038919</v>
      </c>
      <c r="K3" s="1">
        <f xml:space="preserve"> _xlfn.T.INV(0.975,D7)</f>
        <v>2.0009953780882688</v>
      </c>
    </row>
    <row r="4" spans="2:18" x14ac:dyDescent="0.2">
      <c r="B4" s="13" t="s">
        <v>26</v>
      </c>
      <c r="C4" s="13"/>
      <c r="D4" s="13">
        <v>1</v>
      </c>
      <c r="I4" s="2" t="s">
        <v>38</v>
      </c>
      <c r="J4" s="4">
        <f xml:space="preserve"> _xlfn.T.INV(0.99,D7)</f>
        <v>2.3912288372073567</v>
      </c>
      <c r="K4" s="4">
        <f xml:space="preserve"> _xlfn.T.INV(0.995,D7)</f>
        <v>2.6617587521629682</v>
      </c>
    </row>
    <row r="5" spans="2:18" x14ac:dyDescent="0.2">
      <c r="B5" s="13" t="s">
        <v>27</v>
      </c>
      <c r="C5" s="13"/>
      <c r="D5" s="13">
        <v>60</v>
      </c>
      <c r="J5" s="8" t="s">
        <v>79</v>
      </c>
      <c r="K5" s="9"/>
      <c r="L5" s="9"/>
      <c r="N5" t="s">
        <v>80</v>
      </c>
      <c r="R5">
        <v>8.6999999999999993</v>
      </c>
    </row>
    <row r="6" spans="2:18" x14ac:dyDescent="0.2">
      <c r="B6" s="13" t="s">
        <v>28</v>
      </c>
      <c r="C6" s="13" t="s">
        <v>29</v>
      </c>
      <c r="D6" s="13">
        <f>(D2-D3)/(D4/SQRT(D5))</f>
        <v>1.549193338482967</v>
      </c>
      <c r="I6" s="1" t="s">
        <v>72</v>
      </c>
      <c r="J6" s="5" t="s">
        <v>74</v>
      </c>
      <c r="K6" s="1" t="s">
        <v>75</v>
      </c>
      <c r="L6" s="1" t="s">
        <v>76</v>
      </c>
      <c r="N6" t="s">
        <v>57</v>
      </c>
      <c r="O6" t="s">
        <v>58</v>
      </c>
      <c r="P6" t="s">
        <v>81</v>
      </c>
      <c r="R6">
        <f xml:space="preserve"> 0 + K3*D4/SQRT(D5)</f>
        <v>0.25832739250579595</v>
      </c>
    </row>
    <row r="7" spans="2:18" x14ac:dyDescent="0.2">
      <c r="B7" s="13" t="s">
        <v>39</v>
      </c>
      <c r="C7" s="13" t="s">
        <v>40</v>
      </c>
      <c r="D7" s="13">
        <f>D5-1</f>
        <v>59</v>
      </c>
      <c r="I7" s="1">
        <v>15</v>
      </c>
      <c r="J7" s="5">
        <v>15</v>
      </c>
      <c r="K7" s="1">
        <v>10</v>
      </c>
      <c r="L7" s="1">
        <f>J7-K7</f>
        <v>5</v>
      </c>
      <c r="N7">
        <v>57</v>
      </c>
      <c r="O7">
        <v>60</v>
      </c>
      <c r="P7">
        <f>O7-N7</f>
        <v>3</v>
      </c>
      <c r="R7">
        <f xml:space="preserve"> 0 - K3*D4/SQRT(D5)</f>
        <v>-0.25832739250579595</v>
      </c>
    </row>
    <row r="8" spans="2:18" x14ac:dyDescent="0.2">
      <c r="B8" s="13" t="s">
        <v>98</v>
      </c>
      <c r="C8" s="15" t="s">
        <v>99</v>
      </c>
      <c r="D8" s="13" t="s">
        <v>100</v>
      </c>
      <c r="I8" s="1">
        <v>-8</v>
      </c>
      <c r="J8" s="5">
        <v>17</v>
      </c>
      <c r="K8" s="1">
        <v>9</v>
      </c>
      <c r="L8" s="1">
        <f t="shared" ref="L8:L15" si="0">J8-K8</f>
        <v>8</v>
      </c>
      <c r="N8">
        <v>61</v>
      </c>
      <c r="O8">
        <v>54</v>
      </c>
      <c r="P8">
        <f t="shared" ref="P8:P21" si="1">O8-N8</f>
        <v>-7</v>
      </c>
      <c r="R8">
        <f>R6-0.1</f>
        <v>0.15832739250579594</v>
      </c>
    </row>
    <row r="9" spans="2:18" x14ac:dyDescent="0.2">
      <c r="B9" s="13"/>
      <c r="C9" s="13" t="s">
        <v>19</v>
      </c>
      <c r="D9" s="13">
        <f>J3</f>
        <v>1.6710930321038919</v>
      </c>
      <c r="I9" s="1">
        <v>32</v>
      </c>
      <c r="J9" s="5">
        <v>25</v>
      </c>
      <c r="K9" s="1">
        <v>21</v>
      </c>
      <c r="L9" s="1">
        <f t="shared" si="0"/>
        <v>4</v>
      </c>
      <c r="N9">
        <v>12</v>
      </c>
      <c r="O9">
        <v>20</v>
      </c>
      <c r="P9">
        <f t="shared" si="1"/>
        <v>8</v>
      </c>
      <c r="R9">
        <f>_xlfn.NORM.S.DIST((R6-0.1),TRUE)</f>
        <v>0.56290058786612396</v>
      </c>
    </row>
    <row r="10" spans="2:18" x14ac:dyDescent="0.2">
      <c r="B10" s="13"/>
      <c r="C10" s="13" t="s">
        <v>18</v>
      </c>
      <c r="D10" s="13" t="str">
        <f>IF(AND(D8="left",ABS(D6)&gt;D9),"reject",IF(AND(D8="right",D6&gt;D9),"reject",IF(AND(D8="two",ABS(D6)&gt;D9),"reject","fail to reject")))</f>
        <v>fail to reject</v>
      </c>
      <c r="I10" s="1">
        <v>57</v>
      </c>
      <c r="J10" s="5">
        <v>17</v>
      </c>
      <c r="K10" s="1">
        <v>16</v>
      </c>
      <c r="L10" s="1">
        <f t="shared" si="0"/>
        <v>1</v>
      </c>
      <c r="N10">
        <v>38</v>
      </c>
      <c r="O10">
        <v>35</v>
      </c>
      <c r="P10">
        <f t="shared" si="1"/>
        <v>-3</v>
      </c>
      <c r="R10">
        <f>_xlfn.NORM.S.DIST((R7-0.1),TRUE)</f>
        <v>0.36004916049925828</v>
      </c>
    </row>
    <row r="11" spans="2:18" x14ac:dyDescent="0.2">
      <c r="B11" s="13" t="s">
        <v>96</v>
      </c>
      <c r="C11" s="13"/>
      <c r="D11" s="13">
        <f>IF(D8="right",_xlfn.T.DIST.RT(D6,D7),IF(D8="left",_xlfn.T.DIST(D6,D7,TRUE),IF(D8="two",2*_xlfn.T.DIST.RT(D6,D7),"")))</f>
        <v>6.3341546245127917E-2</v>
      </c>
      <c r="I11" s="1">
        <v>20</v>
      </c>
      <c r="J11" s="5">
        <v>14</v>
      </c>
      <c r="K11" s="1">
        <v>11</v>
      </c>
      <c r="L11" s="1">
        <f t="shared" si="0"/>
        <v>3</v>
      </c>
      <c r="N11">
        <v>12</v>
      </c>
      <c r="O11">
        <v>21</v>
      </c>
      <c r="P11">
        <f t="shared" si="1"/>
        <v>9</v>
      </c>
      <c r="R11">
        <f>R9-R10</f>
        <v>0.20285142736686568</v>
      </c>
    </row>
    <row r="12" spans="2:18" x14ac:dyDescent="0.2">
      <c r="B12" s="12"/>
      <c r="C12" s="12"/>
      <c r="D12" s="12"/>
      <c r="I12" s="1">
        <v>10</v>
      </c>
      <c r="J12" s="5">
        <v>18</v>
      </c>
      <c r="K12" s="1">
        <v>12</v>
      </c>
      <c r="L12" s="1">
        <f t="shared" si="0"/>
        <v>6</v>
      </c>
      <c r="N12">
        <v>69</v>
      </c>
      <c r="O12">
        <v>70</v>
      </c>
      <c r="P12">
        <f t="shared" si="1"/>
        <v>1</v>
      </c>
      <c r="R12">
        <f>1-R11</f>
        <v>0.79714857263313432</v>
      </c>
    </row>
    <row r="13" spans="2:18" x14ac:dyDescent="0.2">
      <c r="B13" s="16" t="s">
        <v>42</v>
      </c>
      <c r="C13" s="17"/>
      <c r="D13" s="18"/>
      <c r="I13" s="1">
        <v>-18</v>
      </c>
      <c r="J13" s="5">
        <v>17</v>
      </c>
      <c r="K13" s="1">
        <v>13</v>
      </c>
      <c r="L13" s="1">
        <f t="shared" si="0"/>
        <v>4</v>
      </c>
      <c r="N13">
        <v>5</v>
      </c>
      <c r="O13">
        <v>1</v>
      </c>
      <c r="P13">
        <f t="shared" si="1"/>
        <v>-4</v>
      </c>
    </row>
    <row r="14" spans="2:18" x14ac:dyDescent="0.2">
      <c r="B14" s="13" t="s">
        <v>43</v>
      </c>
      <c r="C14" s="13" t="s">
        <v>44</v>
      </c>
      <c r="D14" s="13">
        <f>D4/SQRT(D5)</f>
        <v>0.12909944487358055</v>
      </c>
      <c r="I14" s="1">
        <v>-12</v>
      </c>
      <c r="J14" s="5">
        <v>16</v>
      </c>
      <c r="K14" s="1">
        <v>15</v>
      </c>
      <c r="L14" s="1">
        <f t="shared" si="0"/>
        <v>1</v>
      </c>
      <c r="N14">
        <v>39</v>
      </c>
      <c r="O14">
        <v>65</v>
      </c>
      <c r="P14">
        <f t="shared" si="1"/>
        <v>26</v>
      </c>
    </row>
    <row r="15" spans="2:18" x14ac:dyDescent="0.2">
      <c r="B15" s="13" t="s">
        <v>45</v>
      </c>
      <c r="C15" s="13" t="s">
        <v>50</v>
      </c>
      <c r="D15" s="13">
        <f>K3</f>
        <v>2.0009953780882688</v>
      </c>
      <c r="I15" s="1">
        <v>60</v>
      </c>
      <c r="J15" s="5">
        <v>14</v>
      </c>
      <c r="K15" s="1">
        <v>13</v>
      </c>
      <c r="L15" s="1">
        <f t="shared" si="0"/>
        <v>1</v>
      </c>
      <c r="N15">
        <v>88</v>
      </c>
      <c r="O15">
        <v>79</v>
      </c>
      <c r="P15">
        <f t="shared" si="1"/>
        <v>-9</v>
      </c>
    </row>
    <row r="16" spans="2:18" x14ac:dyDescent="0.2">
      <c r="B16" s="13" t="s">
        <v>46</v>
      </c>
      <c r="C16" s="13" t="s">
        <v>47</v>
      </c>
      <c r="D16" s="13">
        <f>D2+D14*D15</f>
        <v>0.45832739250579596</v>
      </c>
      <c r="I16" s="1">
        <v>72</v>
      </c>
      <c r="J16" s="5"/>
      <c r="K16" s="1" t="s">
        <v>77</v>
      </c>
      <c r="L16" s="1">
        <f>AVERAGE(L7:L15)</f>
        <v>3.6666666666666665</v>
      </c>
      <c r="N16">
        <v>9</v>
      </c>
      <c r="O16">
        <v>10</v>
      </c>
      <c r="P16">
        <f t="shared" si="1"/>
        <v>1</v>
      </c>
    </row>
    <row r="17" spans="2:16" x14ac:dyDescent="0.2">
      <c r="B17" s="13" t="s">
        <v>48</v>
      </c>
      <c r="C17" s="13" t="s">
        <v>49</v>
      </c>
      <c r="D17" s="13">
        <f>D2-D15*D14</f>
        <v>-5.8327392505795939E-2</v>
      </c>
      <c r="I17" s="1">
        <v>38</v>
      </c>
      <c r="J17" s="5"/>
      <c r="K17" s="1" t="s">
        <v>78</v>
      </c>
      <c r="L17" s="1">
        <f>COUNT(L7:L15)</f>
        <v>9</v>
      </c>
      <c r="N17">
        <v>92</v>
      </c>
      <c r="O17">
        <v>90</v>
      </c>
      <c r="P17">
        <f t="shared" si="1"/>
        <v>-2</v>
      </c>
    </row>
    <row r="18" spans="2:16" x14ac:dyDescent="0.2">
      <c r="B18" s="12"/>
      <c r="C18" s="12"/>
      <c r="D18" s="12"/>
      <c r="I18" s="1">
        <v>-5</v>
      </c>
      <c r="J18" s="5"/>
      <c r="K18" s="1" t="s">
        <v>59</v>
      </c>
      <c r="L18" s="1">
        <f>_xlfn.STDEV.S(L7:L15)</f>
        <v>2.4494897427831779</v>
      </c>
      <c r="N18">
        <v>26</v>
      </c>
      <c r="O18">
        <v>32</v>
      </c>
      <c r="P18">
        <f t="shared" si="1"/>
        <v>6</v>
      </c>
    </row>
    <row r="19" spans="2:16" x14ac:dyDescent="0.2">
      <c r="B19" s="12"/>
      <c r="C19" s="12"/>
      <c r="D19" s="12"/>
      <c r="I19" s="1">
        <v>16</v>
      </c>
      <c r="N19">
        <v>14</v>
      </c>
      <c r="O19">
        <v>19</v>
      </c>
      <c r="P19">
        <f t="shared" si="1"/>
        <v>5</v>
      </c>
    </row>
    <row r="20" spans="2:16" x14ac:dyDescent="0.2">
      <c r="B20" s="12"/>
      <c r="C20" s="12"/>
      <c r="D20" s="12"/>
      <c r="I20" s="1">
        <v>22</v>
      </c>
      <c r="N20">
        <v>70</v>
      </c>
      <c r="O20">
        <v>77</v>
      </c>
      <c r="P20">
        <f t="shared" si="1"/>
        <v>7</v>
      </c>
    </row>
    <row r="21" spans="2:16" x14ac:dyDescent="0.2">
      <c r="I21" s="1">
        <v>34</v>
      </c>
      <c r="N21">
        <v>22</v>
      </c>
      <c r="O21">
        <v>29</v>
      </c>
      <c r="P21">
        <f t="shared" si="1"/>
        <v>7</v>
      </c>
    </row>
    <row r="22" spans="2:16" x14ac:dyDescent="0.2">
      <c r="I22" s="1">
        <v>41</v>
      </c>
      <c r="O22" t="s">
        <v>82</v>
      </c>
      <c r="P22">
        <f>AVERAGE(P7:P21)</f>
        <v>3.2</v>
      </c>
    </row>
    <row r="23" spans="2:16" x14ac:dyDescent="0.2">
      <c r="I23" s="1">
        <v>12</v>
      </c>
      <c r="O23" t="s">
        <v>83</v>
      </c>
      <c r="P23">
        <f>COUNT(P7:P21)</f>
        <v>15</v>
      </c>
    </row>
    <row r="24" spans="2:16" x14ac:dyDescent="0.2">
      <c r="I24" s="1">
        <v>-38</v>
      </c>
      <c r="O24" t="s">
        <v>84</v>
      </c>
      <c r="P24">
        <f>_xlfn.STDEV.S(P7:P21)</f>
        <v>8.4363160545008373</v>
      </c>
    </row>
    <row r="25" spans="2:16" x14ac:dyDescent="0.2">
      <c r="I25" s="1">
        <v>16</v>
      </c>
    </row>
    <row r="26" spans="2:16" x14ac:dyDescent="0.2">
      <c r="I26" s="1">
        <v>-40</v>
      </c>
    </row>
    <row r="27" spans="2:16" x14ac:dyDescent="0.2">
      <c r="I27" s="1">
        <v>75</v>
      </c>
    </row>
    <row r="28" spans="2:16" x14ac:dyDescent="0.2">
      <c r="I28" s="1">
        <v>11</v>
      </c>
    </row>
    <row r="29" spans="2:16" x14ac:dyDescent="0.2">
      <c r="I29" s="1">
        <v>2</v>
      </c>
    </row>
    <row r="30" spans="2:16" x14ac:dyDescent="0.2">
      <c r="I30" s="1">
        <v>55</v>
      </c>
    </row>
    <row r="31" spans="2:16" x14ac:dyDescent="0.2">
      <c r="I31" s="1">
        <v>10</v>
      </c>
    </row>
    <row r="32" spans="2:16" x14ac:dyDescent="0.2">
      <c r="H32" t="s">
        <v>73</v>
      </c>
      <c r="I32" s="1">
        <f>AVERAGE(I7:I31)</f>
        <v>19.079999999999998</v>
      </c>
    </row>
    <row r="33" spans="8:9" x14ac:dyDescent="0.2">
      <c r="H33" t="s">
        <v>59</v>
      </c>
      <c r="I33" s="1">
        <f>_xlfn.STDEV.S(I7:I31)</f>
        <v>30.671539467938896</v>
      </c>
    </row>
  </sheetData>
  <mergeCells count="2">
    <mergeCell ref="B13:D13"/>
    <mergeCell ref="J5:L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25410-F468-4846-B045-B67E52EEF7E6}">
  <dimension ref="B2:D11"/>
  <sheetViews>
    <sheetView zoomScale="189" workbookViewId="0">
      <selection activeCell="D8" sqref="D8"/>
    </sheetView>
  </sheetViews>
  <sheetFormatPr baseColWidth="10" defaultColWidth="8.83203125" defaultRowHeight="15" x14ac:dyDescent="0.2"/>
  <cols>
    <col min="2" max="2" width="11.83203125" bestFit="1" customWidth="1"/>
    <col min="3" max="3" width="56.1640625" customWidth="1"/>
  </cols>
  <sheetData>
    <row r="2" spans="2:4" x14ac:dyDescent="0.2">
      <c r="B2" t="s">
        <v>51</v>
      </c>
      <c r="D2">
        <v>452</v>
      </c>
    </row>
    <row r="3" spans="2:4" x14ac:dyDescent="0.2">
      <c r="B3" t="s">
        <v>52</v>
      </c>
      <c r="D3">
        <v>523</v>
      </c>
    </row>
    <row r="4" spans="2:4" x14ac:dyDescent="0.2">
      <c r="B4" t="s">
        <v>3</v>
      </c>
      <c r="D4">
        <v>1200</v>
      </c>
    </row>
    <row r="5" spans="2:4" x14ac:dyDescent="0.2">
      <c r="B5" t="s">
        <v>4</v>
      </c>
      <c r="D5">
        <v>800</v>
      </c>
    </row>
    <row r="6" spans="2:4" x14ac:dyDescent="0.2">
      <c r="B6" t="s">
        <v>53</v>
      </c>
      <c r="D6">
        <v>212</v>
      </c>
    </row>
    <row r="7" spans="2:4" x14ac:dyDescent="0.2">
      <c r="B7" t="s">
        <v>54</v>
      </c>
      <c r="D7">
        <v>185</v>
      </c>
    </row>
    <row r="8" spans="2:4" x14ac:dyDescent="0.2">
      <c r="B8" t="s">
        <v>55</v>
      </c>
      <c r="C8" t="s">
        <v>56</v>
      </c>
      <c r="D8">
        <f xml:space="preserve"> ((D2-D3)-0)/SQRT(D6^2/D4+ D7^2/D5)</f>
        <v>-7.9264285267592989</v>
      </c>
    </row>
    <row r="9" spans="2:4" x14ac:dyDescent="0.2">
      <c r="B9" t="s">
        <v>91</v>
      </c>
      <c r="C9" t="s">
        <v>92</v>
      </c>
    </row>
    <row r="10" spans="2:4" x14ac:dyDescent="0.2">
      <c r="B10" t="s">
        <v>62</v>
      </c>
      <c r="C10" t="s">
        <v>93</v>
      </c>
    </row>
    <row r="11" spans="2:4" x14ac:dyDescent="0.2">
      <c r="B11" t="s">
        <v>94</v>
      </c>
      <c r="C11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3BDCD-3719-494D-989F-A7C4E8981025}">
  <dimension ref="B1:H33"/>
  <sheetViews>
    <sheetView tabSelected="1" zoomScale="219" workbookViewId="0">
      <selection activeCell="E15" sqref="E15"/>
    </sheetView>
  </sheetViews>
  <sheetFormatPr baseColWidth="10" defaultColWidth="8.83203125" defaultRowHeight="15" x14ac:dyDescent="0.2"/>
  <cols>
    <col min="2" max="2" width="11.83203125" bestFit="1" customWidth="1"/>
    <col min="3" max="3" width="4.33203125" customWidth="1"/>
    <col min="4" max="4" width="9" customWidth="1"/>
    <col min="5" max="5" width="14.83203125" customWidth="1"/>
    <col min="6" max="6" width="11.83203125" bestFit="1" customWidth="1"/>
  </cols>
  <sheetData>
    <row r="1" spans="2:8" x14ac:dyDescent="0.2">
      <c r="F1" s="1"/>
      <c r="G1" s="1" t="s">
        <v>20</v>
      </c>
      <c r="H1" s="1" t="s">
        <v>21</v>
      </c>
    </row>
    <row r="2" spans="2:8" x14ac:dyDescent="0.2">
      <c r="B2" s="7" t="s">
        <v>103</v>
      </c>
      <c r="C2" s="7"/>
      <c r="D2" s="7"/>
      <c r="E2" s="3"/>
      <c r="F2" s="1" t="s">
        <v>36</v>
      </c>
      <c r="G2" s="1">
        <f xml:space="preserve"> _xlfn.T.INV(0.9,D12)</f>
        <v>1.2960657251220524</v>
      </c>
      <c r="H2" s="1">
        <f xml:space="preserve"> _xlfn.T.INV(0.95,D12)</f>
        <v>1.6710930321038919</v>
      </c>
    </row>
    <row r="3" spans="2:8" x14ac:dyDescent="0.2">
      <c r="B3" s="10" t="s">
        <v>51</v>
      </c>
      <c r="C3" s="1"/>
      <c r="D3" s="1">
        <v>1000</v>
      </c>
      <c r="F3" s="2" t="s">
        <v>37</v>
      </c>
      <c r="G3" s="1">
        <f xml:space="preserve"> _xlfn.T.INV(0.95,D12)</f>
        <v>1.6710930321038919</v>
      </c>
      <c r="H3" s="1">
        <f xml:space="preserve"> _xlfn.T.INV(0.975,D12)</f>
        <v>2.0009953780882688</v>
      </c>
    </row>
    <row r="4" spans="2:8" x14ac:dyDescent="0.2">
      <c r="B4" s="10" t="s">
        <v>52</v>
      </c>
      <c r="C4" s="1"/>
      <c r="D4" s="1">
        <v>1350</v>
      </c>
      <c r="F4" s="2" t="s">
        <v>38</v>
      </c>
      <c r="G4" s="1">
        <f xml:space="preserve"> _xlfn.T.INV(0.99,D12)</f>
        <v>2.3912288372073567</v>
      </c>
      <c r="H4" s="1">
        <f xml:space="preserve"> _xlfn.T.INV(0.995,D12)</f>
        <v>2.6617587521629682</v>
      </c>
    </row>
    <row r="5" spans="2:8" x14ac:dyDescent="0.2">
      <c r="B5" s="10" t="s">
        <v>68</v>
      </c>
      <c r="C5" s="1"/>
      <c r="D5" s="1">
        <v>0</v>
      </c>
    </row>
    <row r="6" spans="2:8" x14ac:dyDescent="0.2">
      <c r="B6" s="10" t="s">
        <v>3</v>
      </c>
      <c r="C6" s="1"/>
      <c r="D6" s="1">
        <v>25</v>
      </c>
    </row>
    <row r="7" spans="2:8" x14ac:dyDescent="0.2">
      <c r="B7" s="10" t="s">
        <v>4</v>
      </c>
      <c r="C7" s="1"/>
      <c r="D7" s="1">
        <v>36</v>
      </c>
    </row>
    <row r="8" spans="2:8" x14ac:dyDescent="0.2">
      <c r="B8" s="10" t="s">
        <v>64</v>
      </c>
      <c r="C8" s="1"/>
      <c r="D8" s="1">
        <v>250</v>
      </c>
    </row>
    <row r="9" spans="2:8" x14ac:dyDescent="0.2">
      <c r="B9" s="10" t="s">
        <v>65</v>
      </c>
      <c r="C9" s="1"/>
      <c r="D9" s="1">
        <v>280</v>
      </c>
      <c r="F9" t="s">
        <v>91</v>
      </c>
      <c r="G9">
        <f xml:space="preserve"> SQRT(D10 *(1/D6+1/D7)) *H3</f>
        <v>139.71770074314276</v>
      </c>
    </row>
    <row r="10" spans="2:8" x14ac:dyDescent="0.2">
      <c r="B10" s="10" t="s">
        <v>70</v>
      </c>
      <c r="C10" s="1" t="s">
        <v>66</v>
      </c>
      <c r="D10" s="1">
        <f xml:space="preserve"> ((D6-1)*D8^2 + (D7-1)*D9^2)/(D7+D6-2)</f>
        <v>71932.203389830509</v>
      </c>
      <c r="F10" t="s">
        <v>62</v>
      </c>
      <c r="G10">
        <f>(D3-D4) + G9</f>
        <v>-210.28229925685724</v>
      </c>
    </row>
    <row r="11" spans="2:8" x14ac:dyDescent="0.2">
      <c r="B11" s="10" t="s">
        <v>28</v>
      </c>
      <c r="C11" s="1" t="s">
        <v>69</v>
      </c>
      <c r="D11" s="1">
        <f xml:space="preserve"> (D3-D4-D5)/(SQRT(D10*(1/D6+1/D7)))</f>
        <v>-5.0125959603244237</v>
      </c>
      <c r="F11" t="s">
        <v>94</v>
      </c>
      <c r="G11">
        <f>D3-D4 -G9</f>
        <v>-489.71770074314276</v>
      </c>
    </row>
    <row r="12" spans="2:8" x14ac:dyDescent="0.2">
      <c r="B12" s="10" t="s">
        <v>39</v>
      </c>
      <c r="C12" s="1" t="s">
        <v>67</v>
      </c>
      <c r="D12" s="1">
        <f>D6+D7-2</f>
        <v>59</v>
      </c>
      <c r="F12" t="s">
        <v>96</v>
      </c>
      <c r="G12">
        <f>_xlfn.T.DIST.RT(D11,D12)</f>
        <v>0.99999739786871</v>
      </c>
    </row>
    <row r="13" spans="2:8" x14ac:dyDescent="0.2">
      <c r="B13" s="10" t="s">
        <v>71</v>
      </c>
      <c r="C13" s="1"/>
      <c r="D13" s="1">
        <f>H2</f>
        <v>1.6710930321038919</v>
      </c>
    </row>
    <row r="14" spans="2:8" x14ac:dyDescent="0.2">
      <c r="B14" s="10" t="s">
        <v>98</v>
      </c>
      <c r="C14" s="6" t="s">
        <v>99</v>
      </c>
      <c r="D14" s="1" t="s">
        <v>97</v>
      </c>
    </row>
    <row r="15" spans="2:8" x14ac:dyDescent="0.2">
      <c r="B15" s="10" t="s">
        <v>18</v>
      </c>
      <c r="C15" s="1"/>
      <c r="D15" s="1" t="str">
        <f>IF(AND(D14="left",ABS(D11)&gt;D13),"reject",IF(AND(D14="right",D11&gt;D13),"reject",IF(AND(D14="two",ABS(D11)&gt;D13),"reject","fail to reject")))</f>
        <v>reject</v>
      </c>
    </row>
    <row r="16" spans="2:8" x14ac:dyDescent="0.2">
      <c r="B16" s="11" t="s">
        <v>96</v>
      </c>
      <c r="C16" s="1"/>
      <c r="D16" s="1">
        <f>IF(D14="right",_xlfn.T.DIST.RT(D11,D12),IF(D14="left",_xlfn.T.DIST(D11,D12,TRUE),IF(D14="two",2*_xlfn.T.DIST.RT(D11,D12),"")))</f>
        <v>1.99999479573742</v>
      </c>
    </row>
    <row r="18" spans="2:8" x14ac:dyDescent="0.2">
      <c r="B18" s="7" t="s">
        <v>102</v>
      </c>
      <c r="C18" s="7"/>
      <c r="D18" s="7"/>
    </row>
    <row r="19" spans="2:8" x14ac:dyDescent="0.2">
      <c r="B19" s="10" t="s">
        <v>51</v>
      </c>
      <c r="C19" s="1"/>
      <c r="D19" s="1">
        <v>3.8</v>
      </c>
      <c r="F19" s="1"/>
      <c r="G19" s="1" t="s">
        <v>20</v>
      </c>
      <c r="H19" s="1" t="s">
        <v>21</v>
      </c>
    </row>
    <row r="20" spans="2:8" x14ac:dyDescent="0.2">
      <c r="B20" s="10" t="s">
        <v>52</v>
      </c>
      <c r="C20" s="1"/>
      <c r="D20" s="1">
        <v>6.1</v>
      </c>
      <c r="F20" s="1" t="s">
        <v>36</v>
      </c>
      <c r="G20" s="1">
        <f xml:space="preserve"> _xlfn.T.INV(0.9,D29)</f>
        <v>1.3194602398161621</v>
      </c>
      <c r="H20" s="1">
        <f xml:space="preserve"> _xlfn.T.INV(0.95,D29)</f>
        <v>1.7138715277470482</v>
      </c>
    </row>
    <row r="21" spans="2:8" x14ac:dyDescent="0.2">
      <c r="B21" s="10" t="s">
        <v>68</v>
      </c>
      <c r="C21" s="1"/>
      <c r="D21" s="1">
        <v>0</v>
      </c>
      <c r="F21" s="2" t="s">
        <v>37</v>
      </c>
      <c r="G21" s="1">
        <f xml:space="preserve"> _xlfn.T.INV(0.95,D29)</f>
        <v>1.7138715277470482</v>
      </c>
      <c r="H21" s="1">
        <f xml:space="preserve"> _xlfn.T.INV(0.975,D29)</f>
        <v>2.0686576104190477</v>
      </c>
    </row>
    <row r="22" spans="2:8" x14ac:dyDescent="0.2">
      <c r="B22" s="10" t="s">
        <v>3</v>
      </c>
      <c r="C22" s="1"/>
      <c r="D22" s="1">
        <v>15</v>
      </c>
      <c r="F22" s="2" t="s">
        <v>38</v>
      </c>
      <c r="G22" s="1">
        <f xml:space="preserve"> _xlfn.T.INV(0.99,D29)</f>
        <v>2.4998667394946672</v>
      </c>
      <c r="H22" s="1">
        <f xml:space="preserve"> _xlfn.T.INV(0.995,D29)</f>
        <v>2.807335683769999</v>
      </c>
    </row>
    <row r="23" spans="2:8" x14ac:dyDescent="0.2">
      <c r="B23" s="10" t="s">
        <v>4</v>
      </c>
      <c r="C23" s="1"/>
      <c r="D23" s="1">
        <v>18</v>
      </c>
    </row>
    <row r="24" spans="2:8" x14ac:dyDescent="0.2">
      <c r="B24" s="10" t="s">
        <v>64</v>
      </c>
      <c r="C24" s="1"/>
      <c r="D24" s="1">
        <v>2.2000000000000002</v>
      </c>
    </row>
    <row r="25" spans="2:8" x14ac:dyDescent="0.2">
      <c r="B25" s="10" t="s">
        <v>65</v>
      </c>
      <c r="C25" s="1"/>
      <c r="D25" s="1">
        <v>5.3</v>
      </c>
    </row>
    <row r="26" spans="2:8" x14ac:dyDescent="0.2">
      <c r="B26" s="10" t="s">
        <v>28</v>
      </c>
      <c r="C26" s="1" t="s">
        <v>85</v>
      </c>
      <c r="D26" s="1">
        <f xml:space="preserve"> (D19-D20-D21)/SQRT(D24^2/D22+D25^2/D23)</f>
        <v>-1.6760117186754779</v>
      </c>
    </row>
    <row r="27" spans="2:8" x14ac:dyDescent="0.2">
      <c r="B27" s="10" t="s">
        <v>87</v>
      </c>
      <c r="C27" s="1" t="s">
        <v>86</v>
      </c>
      <c r="D27" s="1">
        <f>(D24^2/D22 + D25^2/D23)^2</f>
        <v>3.5465259382716048</v>
      </c>
    </row>
    <row r="28" spans="2:8" x14ac:dyDescent="0.2">
      <c r="B28" s="10" t="s">
        <v>88</v>
      </c>
      <c r="C28" s="1" t="s">
        <v>89</v>
      </c>
      <c r="D28" s="1">
        <f>(D24^2/D22)^2/(D22-1) + (D25^2/D23)^2/(D23-1)</f>
        <v>0.15069161852889304</v>
      </c>
    </row>
    <row r="29" spans="2:8" x14ac:dyDescent="0.2">
      <c r="B29" s="10" t="s">
        <v>39</v>
      </c>
      <c r="C29" s="1" t="s">
        <v>90</v>
      </c>
      <c r="D29" s="1">
        <f>_xlfn.FLOOR.MATH(D27/D28)</f>
        <v>23</v>
      </c>
    </row>
    <row r="30" spans="2:8" x14ac:dyDescent="0.2">
      <c r="B30" s="10" t="s">
        <v>98</v>
      </c>
      <c r="C30" s="6" t="s">
        <v>99</v>
      </c>
      <c r="D30" s="1" t="s">
        <v>97</v>
      </c>
    </row>
    <row r="31" spans="2:8" x14ac:dyDescent="0.2">
      <c r="B31" s="10" t="s">
        <v>71</v>
      </c>
      <c r="C31" s="1"/>
      <c r="D31" s="1">
        <f>H21</f>
        <v>2.0686576104190477</v>
      </c>
    </row>
    <row r="32" spans="2:8" x14ac:dyDescent="0.2">
      <c r="B32" s="10" t="s">
        <v>18</v>
      </c>
      <c r="C32" s="1"/>
      <c r="D32" s="1" t="str">
        <f>IF(AND(D30="left",ABS(D26)&gt;D31),"reject",IF(AND(D30="right",D26&gt;D31),"reject",IF(AND(D30="two",ABS(D26)&gt;D31),"reject","fail to reject")))</f>
        <v>fail to reject</v>
      </c>
    </row>
    <row r="33" spans="2:4" x14ac:dyDescent="0.2">
      <c r="B33" s="11" t="s">
        <v>96</v>
      </c>
      <c r="C33" s="1"/>
      <c r="D33" s="1">
        <f>IF(D30="right",_xlfn.T.DIST.RT(D26,D29),IF(D30="left",_xlfn.T.DIST(D26,D29,TRUE),IF(D30="two",2*_xlfn.T.DIST.RT(D26,D29),"")))</f>
        <v>1.8927213277522759</v>
      </c>
    </row>
  </sheetData>
  <mergeCells count="2">
    <mergeCell ref="B2:D2"/>
    <mergeCell ref="B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proportion testing</vt:lpstr>
      <vt:lpstr>Paired Sample t test</vt:lpstr>
      <vt:lpstr>Indep. Sample z test</vt:lpstr>
      <vt:lpstr>Indep. Sample t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Microsoft Office User</cp:lastModifiedBy>
  <dcterms:created xsi:type="dcterms:W3CDTF">2021-05-10T10:07:34Z</dcterms:created>
  <dcterms:modified xsi:type="dcterms:W3CDTF">2021-05-15T06:02:01Z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8866cd05-1d86-4f98-96a7-356e31ccb8e3</vt:lpwstr>
  </property>
</Properties>
</file>