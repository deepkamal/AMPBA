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ks/AMPBA/Term2/SA-II/Exam/Material/"/>
    </mc:Choice>
  </mc:AlternateContent>
  <xr:revisionPtr revIDLastSave="0" documentId="13_ncr:1_{6AED2522-47FD-A740-A279-E932CF915B0E}" xr6:coauthVersionLast="47" xr6:coauthVersionMax="47" xr10:uidLastSave="{00000000-0000-0000-0000-000000000000}"/>
  <bookViews>
    <workbookView xWindow="0" yWindow="5380" windowWidth="35060" windowHeight="13100" activeTab="8" xr2:uid="{98CFE92A-ED8D-2E4E-A7E0-FFD44CEEBF58}"/>
  </bookViews>
  <sheets>
    <sheet name="concepts" sheetId="1" r:id="rId1"/>
    <sheet name="Indep. Sample t test" sheetId="4" r:id="rId2"/>
    <sheet name="Sheet10" sheetId="10" r:id="rId3"/>
    <sheet name="Indep. Sample z test" sheetId="5" r:id="rId4"/>
    <sheet name="Paired Sample t test" sheetId="6" r:id="rId5"/>
    <sheet name="proportion testing" sheetId="7" r:id="rId6"/>
    <sheet name="auto-concepts" sheetId="3" r:id="rId7"/>
    <sheet name="Sheet9" sheetId="9" r:id="rId8"/>
    <sheet name="Sheet8" sheetId="8" r:id="rId9"/>
    <sheet name="anova table" sheetId="2" r:id="rId10"/>
  </sheets>
  <externalReferences>
    <externalReference r:id="rId11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8" l="1"/>
  <c r="K1" i="4"/>
  <c r="D11" i="7"/>
  <c r="D4" i="7"/>
  <c r="D3" i="7"/>
  <c r="G101" i="10"/>
  <c r="F101" i="10"/>
  <c r="C101" i="10"/>
  <c r="D101" i="10"/>
  <c r="E101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" i="10"/>
  <c r="M32" i="2"/>
  <c r="L32" i="2"/>
  <c r="L31" i="2"/>
  <c r="J31" i="2"/>
  <c r="I32" i="2"/>
  <c r="I31" i="2"/>
  <c r="H31" i="2"/>
  <c r="D15" i="7"/>
  <c r="G5" i="7"/>
  <c r="J23" i="2"/>
  <c r="I23" i="2"/>
  <c r="I24" i="2"/>
  <c r="G24" i="2"/>
  <c r="H24" i="2"/>
  <c r="K27" i="2" a="1"/>
  <c r="K27" i="2" s="1"/>
  <c r="D31" i="4"/>
  <c r="I26" i="3"/>
  <c r="I27" i="3"/>
  <c r="I28" i="3"/>
  <c r="I29" i="3"/>
  <c r="I30" i="3"/>
  <c r="I31" i="3"/>
  <c r="I32" i="3"/>
  <c r="I33" i="3"/>
  <c r="I34" i="3"/>
  <c r="I35" i="3"/>
  <c r="I36" i="3"/>
  <c r="I37" i="3"/>
  <c r="I25" i="3"/>
  <c r="F21" i="3"/>
  <c r="G21" i="3"/>
  <c r="F20" i="3"/>
  <c r="G20" i="3"/>
  <c r="L14" i="2"/>
  <c r="K14" i="2"/>
  <c r="J14" i="2"/>
  <c r="D25" i="7"/>
  <c r="D24" i="7"/>
  <c r="D26" i="7" s="1"/>
  <c r="D9" i="7"/>
  <c r="H4" i="7"/>
  <c r="G4" i="7"/>
  <c r="H3" i="7"/>
  <c r="D31" i="7" s="1"/>
  <c r="G3" i="7"/>
  <c r="D28" i="7" s="1"/>
  <c r="H2" i="7"/>
  <c r="G2" i="7"/>
  <c r="I33" i="6"/>
  <c r="I32" i="6"/>
  <c r="P24" i="6"/>
  <c r="P21" i="6"/>
  <c r="P20" i="6"/>
  <c r="P19" i="6"/>
  <c r="P18" i="6"/>
  <c r="L18" i="6"/>
  <c r="P17" i="6"/>
  <c r="P16" i="6"/>
  <c r="L16" i="6"/>
  <c r="P15" i="6"/>
  <c r="L15" i="6"/>
  <c r="P14" i="6"/>
  <c r="L14" i="6"/>
  <c r="D14" i="6"/>
  <c r="P13" i="6"/>
  <c r="L13" i="6"/>
  <c r="P12" i="6"/>
  <c r="L12" i="6"/>
  <c r="P11" i="6"/>
  <c r="L11" i="6"/>
  <c r="P10" i="6"/>
  <c r="L10" i="6"/>
  <c r="P9" i="6"/>
  <c r="L9" i="6"/>
  <c r="P8" i="6"/>
  <c r="L8" i="6"/>
  <c r="P7" i="6"/>
  <c r="P23" i="6" s="1"/>
  <c r="L7" i="6"/>
  <c r="L17" i="6" s="1"/>
  <c r="D7" i="6"/>
  <c r="J4" i="6" s="1"/>
  <c r="D6" i="6"/>
  <c r="K4" i="6"/>
  <c r="D8" i="5"/>
  <c r="D28" i="4"/>
  <c r="D27" i="4"/>
  <c r="D29" i="4" s="1"/>
  <c r="D26" i="4"/>
  <c r="D12" i="4"/>
  <c r="H3" i="4" s="1"/>
  <c r="D10" i="4"/>
  <c r="D11" i="4" s="1"/>
  <c r="G4" i="4"/>
  <c r="H4" i="4" l="1"/>
  <c r="G2" i="4"/>
  <c r="H2" i="4"/>
  <c r="D13" i="4" s="1"/>
  <c r="D15" i="4" s="1"/>
  <c r="G3" i="4"/>
  <c r="G9" i="4"/>
  <c r="G11" i="4" s="1"/>
  <c r="D5" i="7"/>
  <c r="D8" i="7" s="1"/>
  <c r="D14" i="7"/>
  <c r="D10" i="7"/>
  <c r="D16" i="7" s="1"/>
  <c r="D32" i="7"/>
  <c r="D29" i="7"/>
  <c r="D30" i="7"/>
  <c r="K2" i="6"/>
  <c r="L2" i="6"/>
  <c r="P22" i="6"/>
  <c r="D11" i="6"/>
  <c r="J2" i="6"/>
  <c r="J3" i="6"/>
  <c r="D9" i="6" s="1"/>
  <c r="D10" i="6" s="1"/>
  <c r="K3" i="6"/>
  <c r="G12" i="4"/>
  <c r="D16" i="4"/>
  <c r="D33" i="4"/>
  <c r="G21" i="4"/>
  <c r="G20" i="4"/>
  <c r="H21" i="4"/>
  <c r="H20" i="4"/>
  <c r="H22" i="4"/>
  <c r="G22" i="4"/>
  <c r="G10" i="4" l="1"/>
  <c r="D13" i="7"/>
  <c r="D32" i="4"/>
  <c r="D15" i="6"/>
  <c r="R7" i="6"/>
  <c r="R10" i="6" s="1"/>
  <c r="R6" i="6"/>
  <c r="R9" i="6" l="1"/>
  <c r="R11" i="6" s="1"/>
  <c r="R12" i="6" s="1"/>
  <c r="R8" i="6"/>
  <c r="D16" i="6"/>
  <c r="D17" i="6"/>
  <c r="B6" i="1"/>
  <c r="B8" i="1"/>
  <c r="B7" i="1"/>
  <c r="N5" i="1" l="1"/>
  <c r="M5" i="1"/>
  <c r="L5" i="1"/>
  <c r="K5" i="1"/>
  <c r="J5" i="1"/>
  <c r="I5" i="1"/>
  <c r="H5" i="1"/>
  <c r="G5" i="1"/>
  <c r="F5" i="1"/>
  <c r="E5" i="1"/>
  <c r="D5" i="1"/>
  <c r="C5" i="1"/>
  <c r="B5" i="1"/>
  <c r="N4" i="1"/>
  <c r="M4" i="1"/>
  <c r="L4" i="1"/>
  <c r="K4" i="1"/>
  <c r="J4" i="1"/>
  <c r="I4" i="1"/>
  <c r="H4" i="1"/>
  <c r="G4" i="1"/>
  <c r="F4" i="1"/>
  <c r="E4" i="1"/>
  <c r="D4" i="1"/>
  <c r="C4" i="1"/>
  <c r="B4" i="1"/>
  <c r="N3" i="1"/>
  <c r="M3" i="1"/>
  <c r="L3" i="1"/>
  <c r="K3" i="1"/>
  <c r="J3" i="1"/>
  <c r="I3" i="1"/>
  <c r="H3" i="1"/>
  <c r="G3" i="1"/>
  <c r="F3" i="1"/>
  <c r="E3" i="1"/>
  <c r="D3" i="1"/>
  <c r="C3" i="1"/>
  <c r="B3" i="1"/>
  <c r="B10" i="1" l="1"/>
  <c r="B12" i="1" s="1"/>
  <c r="B11" i="1"/>
  <c r="B14" i="1" s="1"/>
  <c r="B9" i="1"/>
  <c r="B13" i="1" s="1"/>
  <c r="B23" i="1" l="1"/>
  <c r="B24" i="1" s="1"/>
  <c r="B15" i="1"/>
  <c r="B16" i="1" s="1"/>
  <c r="B17" i="1" l="1"/>
  <c r="B18" i="1" l="1"/>
  <c r="B20" i="1" s="1"/>
  <c r="B19" i="1" l="1"/>
  <c r="B22" i="1"/>
  <c r="B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<sst xmlns="http://schemas.openxmlformats.org/spreadsheetml/2006/main" count="293" uniqueCount="201">
  <si>
    <t>X:</t>
  </si>
  <si>
    <t>Y:</t>
  </si>
  <si>
    <t>XY</t>
  </si>
  <si>
    <t>Sum Of X</t>
  </si>
  <si>
    <t>Sum of Y</t>
  </si>
  <si>
    <t>Sum of Y^2</t>
  </si>
  <si>
    <t>Sum of X^2</t>
  </si>
  <si>
    <t>Sum of X*Y</t>
  </si>
  <si>
    <t>SSx</t>
  </si>
  <si>
    <t>SSxy</t>
  </si>
  <si>
    <t>r</t>
  </si>
  <si>
    <t>r Sq</t>
  </si>
  <si>
    <t>n.VAR(X)</t>
  </si>
  <si>
    <t>n.VAR(Y)</t>
  </si>
  <si>
    <t>n.COV(X,Y)</t>
  </si>
  <si>
    <t>COV(X,Y)/VAR(X)</t>
  </si>
  <si>
    <t>y_bar - (b1 * x_bar)</t>
  </si>
  <si>
    <t>n( VAR(Y) - COV(X,Y) )</t>
  </si>
  <si>
    <t xml:space="preserve"> VAR(Y) - COV(X,Y)</t>
  </si>
  <si>
    <t>sqrt( VAR(Y) - COV(X,Y) )</t>
  </si>
  <si>
    <t>sqrt( VAR(Y) - COV(X,Y) ) / n.VAR(X)</t>
  </si>
  <si>
    <t>s*SQRT(SUM_X^2)/n.SQRT(VAR(X))</t>
  </si>
  <si>
    <t>COV(X,Y)/SQRT (VAR(X).VAR(Y))</t>
  </si>
  <si>
    <t>COV(X,Y)^2/(VAR(X).VAR(Y))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</si>
  <si>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</si>
  <si>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</si>
  <si>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</si>
  <si>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</si>
  <si>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</si>
  <si>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</si>
  <si>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</si>
  <si>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</si>
  <si>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</si>
  <si>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</si>
  <si>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</si>
  <si>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</si>
  <si>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</si>
  <si>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</si>
  <si>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</si>
  <si>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</si>
  <si>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</si>
  <si>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</si>
  <si>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</si>
  <si>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</si>
  <si>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</si>
  <si>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</si>
  <si>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99.0%</t>
  </si>
  <si>
    <t>Upper 99.0%</t>
  </si>
  <si>
    <t>RESIDUAL OUTPUT</t>
  </si>
  <si>
    <t>Observation</t>
  </si>
  <si>
    <t>Predicted Y:</t>
  </si>
  <si>
    <t>Residuals</t>
  </si>
  <si>
    <t>Standard Residuals</t>
  </si>
  <si>
    <t>SSE, SS_Residual</t>
  </si>
  <si>
    <t>SSy, Total_SS</t>
  </si>
  <si>
    <t>MSE,MS_Residual</t>
  </si>
  <si>
    <t>F value</t>
  </si>
  <si>
    <t>n.COV(X,Y)/(VAR(Y)-COV(X,Y))</t>
  </si>
  <si>
    <t>Sample X:</t>
  </si>
  <si>
    <t>Sample Y:</t>
  </si>
  <si>
    <t>X^2</t>
  </si>
  <si>
    <t>Y^2</t>
  </si>
  <si>
    <t>s(b0), SE_intercept</t>
  </si>
  <si>
    <t>s(b1), SE_Slope</t>
  </si>
  <si>
    <t>b1, Slope=</t>
  </si>
  <si>
    <t>b0, Intercept=</t>
  </si>
  <si>
    <t>MS_Regression/MS_residual</t>
  </si>
  <si>
    <t>s, SE</t>
  </si>
  <si>
    <t>n</t>
  </si>
  <si>
    <t>One Sided</t>
  </si>
  <si>
    <t>Two Sided</t>
  </si>
  <si>
    <t>pop std =</t>
  </si>
  <si>
    <t>t at 90% CI</t>
  </si>
  <si>
    <t>X1_bar</t>
  </si>
  <si>
    <t>t at 95% CI</t>
  </si>
  <si>
    <t>X2_bar</t>
  </si>
  <si>
    <t>t at 99% CI</t>
  </si>
  <si>
    <t>(mu1 - mu2)0</t>
  </si>
  <si>
    <t>n1</t>
  </si>
  <si>
    <t>n2</t>
  </si>
  <si>
    <t>S1</t>
  </si>
  <si>
    <t>S2</t>
  </si>
  <si>
    <t>std error</t>
  </si>
  <si>
    <t>Sp^2</t>
  </si>
  <si>
    <t>[(n1-1) * S1^2 + (n2-1) * S2^2] / (n1+n2 - 2)</t>
  </si>
  <si>
    <t>CI upper limit</t>
  </si>
  <si>
    <t>t</t>
  </si>
  <si>
    <t>[(X1_bar - X2_bar) - (mu1 - mu2)0]/sqrt(Sp^2 *(1/n1 + 1/n2))</t>
  </si>
  <si>
    <t>CI lower limit</t>
  </si>
  <si>
    <t>n1+n2 - 2</t>
  </si>
  <si>
    <t>pvalue</t>
  </si>
  <si>
    <t>t_critical</t>
  </si>
  <si>
    <t>left/right sided or two sided test??</t>
  </si>
  <si>
    <t>enter left, right or two in D28</t>
  </si>
  <si>
    <t>Conclusion</t>
  </si>
  <si>
    <t>pop std ≠</t>
  </si>
  <si>
    <t>((X1_bar - X2_bar) - (mu1-mu2)0)/sqrt(S1^2/n1 + S2^2/n2)</t>
  </si>
  <si>
    <t>df_num</t>
  </si>
  <si>
    <t>(S1^2/n1 + S2^2/n2)^2</t>
  </si>
  <si>
    <t>df_denom</t>
  </si>
  <si>
    <t>(S1^2/n1)^2 /(n1-1) + (S2^2/n2)^2 /(n2-1)</t>
  </si>
  <si>
    <t>lower_lim(df_num/df_denom)</t>
  </si>
  <si>
    <t>sigma1</t>
  </si>
  <si>
    <t>sigma2</t>
  </si>
  <si>
    <t>Z</t>
  </si>
  <si>
    <t>((X1_bar - X2_bar) - (mu1 - mu2)0)/sqrt(sigma1^2/n1 + sigma2^2/n2)</t>
  </si>
  <si>
    <t>Zalpha/2 * sqrt( sigma1^1/n1 + sigma2^2/n2)</t>
  </si>
  <si>
    <t>(X1_bar - X2_bar) + std error</t>
  </si>
  <si>
    <t>(X1_bar - X2_bar) - std error</t>
  </si>
  <si>
    <t>Data to enter is highlighted</t>
  </si>
  <si>
    <t>D_bar</t>
  </si>
  <si>
    <t>Sample Average Difference between each pair of obs.
Calculate difference between each pair then calculate average of diff.</t>
  </si>
  <si>
    <t>H0</t>
  </si>
  <si>
    <t>mu_D &lt;=0</t>
  </si>
  <si>
    <t>mu_D_0</t>
  </si>
  <si>
    <t>population mean difference</t>
  </si>
  <si>
    <t>H1</t>
  </si>
  <si>
    <t>mu_D &gt;0</t>
  </si>
  <si>
    <t>s_D</t>
  </si>
  <si>
    <t>Problem 8.3</t>
  </si>
  <si>
    <t>Problem 8.5</t>
  </si>
  <si>
    <t>(D_bar - mu_D_0)/(s_D/sqrt(n))</t>
  </si>
  <si>
    <t>Philips - Braun 8.1</t>
  </si>
  <si>
    <t>M</t>
  </si>
  <si>
    <t>C</t>
  </si>
  <si>
    <t>M-C</t>
  </si>
  <si>
    <t>Before</t>
  </si>
  <si>
    <t>After</t>
  </si>
  <si>
    <t>After - Befpre</t>
  </si>
  <si>
    <t>degree of freedom</t>
  </si>
  <si>
    <t>right</t>
  </si>
  <si>
    <t>Input CI</t>
  </si>
  <si>
    <t>Confidence Interval Calculation</t>
  </si>
  <si>
    <t>Std error</t>
  </si>
  <si>
    <t>s_D/sqrt(n)</t>
  </si>
  <si>
    <t>t_alpha/2</t>
  </si>
  <si>
    <t>Choose values from column K based upon CI</t>
  </si>
  <si>
    <t>Upper Limit</t>
  </si>
  <si>
    <t>D_bar + t_alpha/2*s_D/sqrt(n)</t>
  </si>
  <si>
    <t>average</t>
  </si>
  <si>
    <t>Lower Limit</t>
  </si>
  <si>
    <t>D_bar - t_alpha/2*s_D/sqrt(n)</t>
  </si>
  <si>
    <t>count</t>
  </si>
  <si>
    <t>sd</t>
  </si>
  <si>
    <t>averahe</t>
  </si>
  <si>
    <t>coun</t>
  </si>
  <si>
    <t>std</t>
  </si>
  <si>
    <t>verage</t>
  </si>
  <si>
    <t>D=0</t>
  </si>
  <si>
    <t>z at 90% CI</t>
  </si>
  <si>
    <t>p1</t>
  </si>
  <si>
    <t>x1/n1</t>
  </si>
  <si>
    <t>z at 95% CI</t>
  </si>
  <si>
    <t>p2</t>
  </si>
  <si>
    <t>x2/n2</t>
  </si>
  <si>
    <t>z at 99% CI</t>
  </si>
  <si>
    <t>pool p</t>
  </si>
  <si>
    <t>(x1+ x2)/(n1+n2)</t>
  </si>
  <si>
    <t>p*(1-p)</t>
  </si>
  <si>
    <t>1/n1 + 1/n2</t>
  </si>
  <si>
    <t>z</t>
  </si>
  <si>
    <t>(p1-p2-0)/sqrt(p*(1-p)*(1/n1+1/n2))</t>
  </si>
  <si>
    <t>z_critical</t>
  </si>
  <si>
    <t>Input CI, 1 and 2 sided</t>
  </si>
  <si>
    <t>Conclusion,</t>
  </si>
  <si>
    <t>(p1-p2) + Z_alpha/2 * sqrt(p1*(1-p1)/n1 + p2*(1-p2)/n2)</t>
  </si>
  <si>
    <t>CI Lower limit</t>
  </si>
  <si>
    <t>(p1-p2) - Z_alpha/2 * sqrt(p1*(1-p1)/n1 + p2*(1-p2)/n2)</t>
  </si>
  <si>
    <t>D≠0</t>
  </si>
  <si>
    <t>D</t>
  </si>
  <si>
    <t>p1*(1-p1)/n1</t>
  </si>
  <si>
    <t>p2*(1-p2)/n2</t>
  </si>
  <si>
    <t>(p1-p2-D)/sqrt({p1*(1-p1)/n1} + {p2*(1-p2)/n2})</t>
  </si>
  <si>
    <t>A</t>
  </si>
  <si>
    <t>B</t>
  </si>
  <si>
    <t>Anova: Single Factor</t>
  </si>
  <si>
    <t>SUMMARY</t>
  </si>
  <si>
    <t>Groups</t>
  </si>
  <si>
    <t>Count</t>
  </si>
  <si>
    <t>Sum</t>
  </si>
  <si>
    <t>Average</t>
  </si>
  <si>
    <t>Variance</t>
  </si>
  <si>
    <t>Source of Variation</t>
  </si>
  <si>
    <t>F crit</t>
  </si>
  <si>
    <t>Between Groups</t>
  </si>
  <si>
    <t>Within Groups</t>
  </si>
  <si>
    <t>U.K.</t>
  </si>
  <si>
    <t>Mexico</t>
  </si>
  <si>
    <t>U.A.E.</t>
  </si>
  <si>
    <t>Oman</t>
  </si>
  <si>
    <t>Mean</t>
  </si>
  <si>
    <t>Std</t>
  </si>
  <si>
    <t>N</t>
  </si>
  <si>
    <t>left</t>
  </si>
  <si>
    <t>source</t>
  </si>
  <si>
    <t>group</t>
  </si>
  <si>
    <t>error</t>
  </si>
  <si>
    <t>total</t>
  </si>
  <si>
    <t>DF</t>
  </si>
  <si>
    <t>P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</si>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</sst>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0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1"/>
      <name val="Helvetica"/>
      <family val="2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  <xf numFmtId="0" fontId="5" fillId="0" borderId="0" xfId="1"/>
    <xf numFmtId="0" fontId="5" fillId="0" borderId="4" xfId="1" applyBorder="1"/>
    <xf numFmtId="0" fontId="6" fillId="0" borderId="4" xfId="1" applyFont="1" applyBorder="1" applyAlignment="1">
      <alignment horizontal="center"/>
    </xf>
    <xf numFmtId="0" fontId="5" fillId="0" borderId="4" xfId="1" applyBorder="1" applyAlignment="1">
      <alignment horizontal="right"/>
    </xf>
    <xf numFmtId="0" fontId="6" fillId="0" borderId="4" xfId="1" applyFont="1" applyBorder="1"/>
    <xf numFmtId="0" fontId="5" fillId="2" borderId="0" xfId="1" applyFill="1"/>
    <xf numFmtId="0" fontId="5" fillId="2" borderId="4" xfId="1" applyFill="1" applyBorder="1"/>
    <xf numFmtId="0" fontId="5" fillId="2" borderId="4" xfId="1" applyFill="1" applyBorder="1" applyAlignment="1">
      <alignment wrapText="1"/>
    </xf>
    <xf numFmtId="0" fontId="5" fillId="0" borderId="5" xfId="1" applyBorder="1"/>
    <xf numFmtId="16" fontId="5" fillId="0" borderId="4" xfId="1" applyNumberFormat="1" applyBorder="1" applyAlignment="1">
      <alignment horizontal="center"/>
    </xf>
    <xf numFmtId="0" fontId="5" fillId="0" borderId="4" xfId="1" applyBorder="1" applyAlignment="1">
      <alignment horizontal="center"/>
    </xf>
    <xf numFmtId="0" fontId="5" fillId="0" borderId="6" xfId="1" applyBorder="1"/>
    <xf numFmtId="0" fontId="6" fillId="2" borderId="4" xfId="1" applyFont="1" applyFill="1" applyBorder="1"/>
    <xf numFmtId="0" fontId="6" fillId="2" borderId="7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5" fillId="2" borderId="0" xfId="1" applyFill="1" applyAlignment="1">
      <alignment horizontal="right"/>
    </xf>
    <xf numFmtId="0" fontId="6" fillId="2" borderId="4" xfId="1" applyFont="1" applyFill="1" applyBorder="1" applyAlignment="1">
      <alignment horizontal="center"/>
    </xf>
    <xf numFmtId="0" fontId="5" fillId="2" borderId="4" xfId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0" fillId="2" borderId="0" xfId="0" applyFill="1"/>
    <xf numFmtId="0" fontId="1" fillId="2" borderId="0" xfId="0" applyFont="1" applyFill="1" applyAlignment="1">
      <alignment horizontal="right"/>
    </xf>
    <xf numFmtId="0" fontId="2" fillId="2" borderId="0" xfId="0" applyFont="1" applyFill="1"/>
    <xf numFmtId="3" fontId="7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Font="1"/>
    <xf numFmtId="166" fontId="0" fillId="0" borderId="0" xfId="0" applyNumberFormat="1"/>
  </cellXfs>
  <cellStyles count="2">
    <cellStyle name="Normal" xfId="0" builtinId="0"/>
    <cellStyle name="Normal 2" xfId="1" xr:uid="{1FE33602-850B-4A4B-B79E-A85FC0AF2D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ks/Desktop/stat%20pra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5"/>
      <sheetName val="Sheet7"/>
      <sheetName val="Sheet6"/>
      <sheetName val="8.5"/>
      <sheetName val="9.18"/>
      <sheetName val="9.18-Report"/>
      <sheetName val="9.19"/>
      <sheetName val="10-1 solved"/>
      <sheetName val="10.11 "/>
      <sheetName val="10-13"/>
      <sheetName val="10.13 - Auto"/>
      <sheetName val="8-13"/>
      <sheetName val="Case10-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B1">
            <v>27</v>
          </cell>
          <cell r="C1">
            <v>39</v>
          </cell>
          <cell r="D1">
            <v>73</v>
          </cell>
          <cell r="E1">
            <v>66</v>
          </cell>
          <cell r="F1">
            <v>33</v>
          </cell>
          <cell r="G1">
            <v>43</v>
          </cell>
          <cell r="H1">
            <v>47</v>
          </cell>
          <cell r="I1">
            <v>55</v>
          </cell>
          <cell r="J1">
            <v>60</v>
          </cell>
          <cell r="K1">
            <v>68</v>
          </cell>
          <cell r="L1">
            <v>70</v>
          </cell>
          <cell r="M1">
            <v>75</v>
          </cell>
          <cell r="N1">
            <v>82</v>
          </cell>
        </row>
        <row r="2">
          <cell r="C2">
            <v>3</v>
          </cell>
          <cell r="D2">
            <v>10</v>
          </cell>
          <cell r="E2">
            <v>9</v>
          </cell>
          <cell r="F2">
            <v>4</v>
          </cell>
          <cell r="G2">
            <v>6</v>
          </cell>
          <cell r="H2">
            <v>5</v>
          </cell>
          <cell r="I2">
            <v>8</v>
          </cell>
          <cell r="J2">
            <v>7</v>
          </cell>
          <cell r="K2">
            <v>9</v>
          </cell>
          <cell r="L2">
            <v>10</v>
          </cell>
          <cell r="M2">
            <v>13</v>
          </cell>
          <cell r="N2">
            <v>12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F027-3D9A-8B41-9049-3A3168502AED}">
  <dimension ref="A1:N24"/>
  <sheetViews>
    <sheetView zoomScale="234" workbookViewId="0">
      <selection activeCell="E8" sqref="E8"/>
    </sheetView>
  </sheetViews>
  <sheetFormatPr baseColWidth="10" defaultRowHeight="16" x14ac:dyDescent="0.2"/>
  <cols>
    <col min="1" max="1" width="16.83203125" style="27" bestFit="1" customWidth="1"/>
    <col min="2" max="2" width="12.83203125" style="27" bestFit="1" customWidth="1"/>
    <col min="3" max="3" width="6.83203125" style="27" customWidth="1"/>
    <col min="4" max="4" width="5" style="27" customWidth="1"/>
    <col min="5" max="14" width="5.1640625" style="27" bestFit="1" customWidth="1"/>
    <col min="15" max="16384" width="10.83203125" style="27"/>
  </cols>
  <sheetData>
    <row r="1" spans="1:14" x14ac:dyDescent="0.2">
      <c r="A1" s="26" t="s">
        <v>58</v>
      </c>
      <c r="B1" s="27">
        <v>27</v>
      </c>
      <c r="C1" s="27">
        <v>39</v>
      </c>
      <c r="D1" s="27">
        <v>73</v>
      </c>
      <c r="E1" s="27">
        <v>66</v>
      </c>
      <c r="F1" s="27">
        <v>33</v>
      </c>
      <c r="G1" s="27">
        <v>43</v>
      </c>
      <c r="H1" s="27">
        <v>47</v>
      </c>
      <c r="I1" s="27">
        <v>55</v>
      </c>
      <c r="J1" s="27">
        <v>60</v>
      </c>
      <c r="K1" s="27">
        <v>68</v>
      </c>
      <c r="L1" s="27">
        <v>70</v>
      </c>
      <c r="M1" s="27">
        <v>75</v>
      </c>
      <c r="N1" s="27">
        <v>82</v>
      </c>
    </row>
    <row r="2" spans="1:14" x14ac:dyDescent="0.2">
      <c r="A2" s="26" t="s">
        <v>59</v>
      </c>
      <c r="B2" s="27">
        <v>2</v>
      </c>
      <c r="C2" s="27">
        <v>3</v>
      </c>
      <c r="D2" s="27">
        <v>10</v>
      </c>
      <c r="E2" s="27">
        <v>9</v>
      </c>
      <c r="F2" s="27">
        <v>4</v>
      </c>
      <c r="G2" s="27">
        <v>6</v>
      </c>
      <c r="H2" s="27">
        <v>5</v>
      </c>
      <c r="I2" s="27">
        <v>8</v>
      </c>
      <c r="J2" s="27">
        <v>7</v>
      </c>
      <c r="K2" s="27">
        <v>9</v>
      </c>
      <c r="L2" s="27">
        <v>10</v>
      </c>
      <c r="M2" s="27">
        <v>13</v>
      </c>
      <c r="N2" s="27">
        <v>12</v>
      </c>
    </row>
    <row r="3" spans="1:14" x14ac:dyDescent="0.2">
      <c r="A3" s="28" t="s">
        <v>60</v>
      </c>
      <c r="B3" s="27">
        <f>B1^2</f>
        <v>729</v>
      </c>
      <c r="C3" s="27">
        <f t="shared" ref="C3:N4" si="0">C1^2</f>
        <v>1521</v>
      </c>
      <c r="D3" s="27">
        <f t="shared" si="0"/>
        <v>5329</v>
      </c>
      <c r="E3" s="27">
        <f t="shared" si="0"/>
        <v>4356</v>
      </c>
      <c r="F3" s="27">
        <f t="shared" si="0"/>
        <v>1089</v>
      </c>
      <c r="G3" s="27">
        <f t="shared" si="0"/>
        <v>1849</v>
      </c>
      <c r="H3" s="27">
        <f t="shared" si="0"/>
        <v>2209</v>
      </c>
      <c r="I3" s="27">
        <f t="shared" si="0"/>
        <v>3025</v>
      </c>
      <c r="J3" s="27">
        <f t="shared" si="0"/>
        <v>3600</v>
      </c>
      <c r="K3" s="27">
        <f t="shared" si="0"/>
        <v>4624</v>
      </c>
      <c r="L3" s="27">
        <f t="shared" si="0"/>
        <v>4900</v>
      </c>
      <c r="M3" s="27">
        <f t="shared" si="0"/>
        <v>5625</v>
      </c>
      <c r="N3" s="27">
        <f t="shared" si="0"/>
        <v>6724</v>
      </c>
    </row>
    <row r="4" spans="1:14" x14ac:dyDescent="0.2">
      <c r="A4" s="28" t="s">
        <v>61</v>
      </c>
      <c r="B4" s="27">
        <f>B2^2</f>
        <v>4</v>
      </c>
      <c r="C4" s="27">
        <f t="shared" si="0"/>
        <v>9</v>
      </c>
      <c r="D4" s="27">
        <f t="shared" si="0"/>
        <v>100</v>
      </c>
      <c r="E4" s="27">
        <f t="shared" si="0"/>
        <v>81</v>
      </c>
      <c r="F4" s="27">
        <f t="shared" si="0"/>
        <v>16</v>
      </c>
      <c r="G4" s="27">
        <f t="shared" si="0"/>
        <v>36</v>
      </c>
      <c r="H4" s="27">
        <f t="shared" si="0"/>
        <v>25</v>
      </c>
      <c r="I4" s="27">
        <f t="shared" si="0"/>
        <v>64</v>
      </c>
      <c r="J4" s="27">
        <f t="shared" si="0"/>
        <v>49</v>
      </c>
      <c r="K4" s="27">
        <f t="shared" si="0"/>
        <v>81</v>
      </c>
      <c r="L4" s="27">
        <f t="shared" si="0"/>
        <v>100</v>
      </c>
      <c r="M4" s="27">
        <f t="shared" si="0"/>
        <v>169</v>
      </c>
      <c r="N4" s="27">
        <f t="shared" si="0"/>
        <v>144</v>
      </c>
    </row>
    <row r="5" spans="1:14" x14ac:dyDescent="0.2">
      <c r="A5" s="28" t="s">
        <v>2</v>
      </c>
      <c r="B5" s="27">
        <f>B1*B2</f>
        <v>54</v>
      </c>
      <c r="C5" s="27">
        <f t="shared" ref="C5:N5" si="1">C1*C2</f>
        <v>117</v>
      </c>
      <c r="D5" s="27">
        <f t="shared" si="1"/>
        <v>730</v>
      </c>
      <c r="E5" s="27">
        <f t="shared" si="1"/>
        <v>594</v>
      </c>
      <c r="F5" s="27">
        <f t="shared" si="1"/>
        <v>132</v>
      </c>
      <c r="G5" s="27">
        <f t="shared" si="1"/>
        <v>258</v>
      </c>
      <c r="H5" s="27">
        <f t="shared" si="1"/>
        <v>235</v>
      </c>
      <c r="I5" s="27">
        <f t="shared" si="1"/>
        <v>440</v>
      </c>
      <c r="J5" s="27">
        <f t="shared" si="1"/>
        <v>420</v>
      </c>
      <c r="K5" s="27">
        <f t="shared" si="1"/>
        <v>612</v>
      </c>
      <c r="L5" s="27">
        <f t="shared" si="1"/>
        <v>700</v>
      </c>
      <c r="M5" s="27">
        <f t="shared" si="1"/>
        <v>975</v>
      </c>
      <c r="N5" s="27">
        <f t="shared" si="1"/>
        <v>984</v>
      </c>
    </row>
    <row r="6" spans="1:14" x14ac:dyDescent="0.2">
      <c r="A6" s="28" t="s">
        <v>68</v>
      </c>
      <c r="B6" s="27">
        <f>COUNT(B1:NN1)</f>
        <v>13</v>
      </c>
    </row>
    <row r="7" spans="1:14" x14ac:dyDescent="0.2">
      <c r="A7" s="28" t="s">
        <v>3</v>
      </c>
      <c r="B7" s="27">
        <f>SUM(B1:NN1)</f>
        <v>738</v>
      </c>
    </row>
    <row r="8" spans="1:14" x14ac:dyDescent="0.2">
      <c r="A8" s="28" t="s">
        <v>4</v>
      </c>
      <c r="B8" s="27">
        <f>SUM(B2:NN2)</f>
        <v>98</v>
      </c>
    </row>
    <row r="9" spans="1:14" x14ac:dyDescent="0.2">
      <c r="A9" s="28" t="s">
        <v>5</v>
      </c>
      <c r="B9" s="27">
        <f>SUM(B4:NN4)</f>
        <v>878</v>
      </c>
    </row>
    <row r="10" spans="1:14" x14ac:dyDescent="0.2">
      <c r="A10" s="28" t="s">
        <v>6</v>
      </c>
      <c r="B10" s="27">
        <f>SUM(B3:NN3)</f>
        <v>45580</v>
      </c>
    </row>
    <row r="11" spans="1:14" x14ac:dyDescent="0.2">
      <c r="A11" s="28" t="s">
        <v>7</v>
      </c>
      <c r="B11" s="27">
        <f>SUM(B5:NN5)</f>
        <v>6251</v>
      </c>
    </row>
    <row r="12" spans="1:14" x14ac:dyDescent="0.2">
      <c r="A12" s="28" t="s">
        <v>8</v>
      </c>
      <c r="B12" s="27">
        <f>B10-((B7^2)/B6)</f>
        <v>3684.3076923076951</v>
      </c>
      <c r="C12" s="29" t="s">
        <v>12</v>
      </c>
      <c r="D12" s="29"/>
    </row>
    <row r="13" spans="1:14" x14ac:dyDescent="0.2">
      <c r="A13" s="28" t="s">
        <v>54</v>
      </c>
      <c r="B13" s="27">
        <f>B9-((B8^2)/B6)</f>
        <v>139.23076923076928</v>
      </c>
      <c r="C13" s="29" t="s">
        <v>13</v>
      </c>
      <c r="D13" s="29"/>
    </row>
    <row r="14" spans="1:14" x14ac:dyDescent="0.2">
      <c r="A14" s="28" t="s">
        <v>9</v>
      </c>
      <c r="B14" s="27">
        <f>B11-(B7*B8)/COUNT(B1:N1)</f>
        <v>687.61538461538476</v>
      </c>
      <c r="C14" s="29" t="s">
        <v>14</v>
      </c>
      <c r="D14" s="29"/>
    </row>
    <row r="15" spans="1:14" x14ac:dyDescent="0.2">
      <c r="A15" s="28" t="s">
        <v>64</v>
      </c>
      <c r="B15" s="27">
        <f>B14/B12</f>
        <v>0.18663353933522622</v>
      </c>
      <c r="C15" s="29" t="s">
        <v>15</v>
      </c>
      <c r="D15" s="29"/>
    </row>
    <row r="16" spans="1:14" x14ac:dyDescent="0.2">
      <c r="A16" s="28" t="s">
        <v>65</v>
      </c>
      <c r="B16" s="27">
        <f>B8/B6-B15*B7/B6</f>
        <v>-3.0565809253382277</v>
      </c>
      <c r="C16" s="29" t="s">
        <v>16</v>
      </c>
      <c r="D16" s="29"/>
    </row>
    <row r="17" spans="1:4" x14ac:dyDescent="0.2">
      <c r="A17" s="28" t="s">
        <v>53</v>
      </c>
      <c r="B17" s="27">
        <f>B13-B15*B14</f>
        <v>10.89867629864716</v>
      </c>
      <c r="C17" s="29" t="s">
        <v>17</v>
      </c>
      <c r="D17" s="29"/>
    </row>
    <row r="18" spans="1:4" x14ac:dyDescent="0.2">
      <c r="A18" s="28" t="s">
        <v>55</v>
      </c>
      <c r="B18" s="27">
        <f>B17/(B6-2)</f>
        <v>0.99078875442246916</v>
      </c>
      <c r="C18" s="29" t="s">
        <v>18</v>
      </c>
      <c r="D18" s="29"/>
    </row>
    <row r="19" spans="1:4" x14ac:dyDescent="0.2">
      <c r="A19" s="28" t="s">
        <v>56</v>
      </c>
      <c r="B19" s="27">
        <f>(B13-B17)/B18</f>
        <v>129.5251811844866</v>
      </c>
      <c r="C19" s="29" t="s">
        <v>57</v>
      </c>
      <c r="D19" s="29" t="s">
        <v>66</v>
      </c>
    </row>
    <row r="20" spans="1:4" x14ac:dyDescent="0.2">
      <c r="A20" s="28" t="s">
        <v>67</v>
      </c>
      <c r="B20" s="27">
        <f>SQRT(B18)</f>
        <v>0.99538372220087523</v>
      </c>
      <c r="C20" s="29" t="s">
        <v>19</v>
      </c>
      <c r="D20" s="29"/>
    </row>
    <row r="21" spans="1:4" x14ac:dyDescent="0.2">
      <c r="A21" s="28" t="s">
        <v>63</v>
      </c>
      <c r="B21" s="27">
        <f>B20/SQRT(B12)</f>
        <v>1.6398819584681156E-2</v>
      </c>
      <c r="C21" s="29" t="s">
        <v>20</v>
      </c>
      <c r="D21" s="29"/>
    </row>
    <row r="22" spans="1:4" x14ac:dyDescent="0.2">
      <c r="A22" s="28" t="s">
        <v>62</v>
      </c>
      <c r="B22" s="27">
        <f>B20*SQRT(B10)/SQRT(B6*B12)</f>
        <v>0.97101976983275096</v>
      </c>
      <c r="C22" s="29" t="s">
        <v>21</v>
      </c>
      <c r="D22" s="29"/>
    </row>
    <row r="23" spans="1:4" x14ac:dyDescent="0.2">
      <c r="A23" s="28" t="s">
        <v>10</v>
      </c>
      <c r="B23" s="27">
        <f>B14/SQRT(B12*B13)</f>
        <v>0.96006365123860726</v>
      </c>
      <c r="C23" s="29" t="s">
        <v>22</v>
      </c>
      <c r="D23" s="29"/>
    </row>
    <row r="24" spans="1:4" x14ac:dyDescent="0.2">
      <c r="A24" s="28" t="s">
        <v>11</v>
      </c>
      <c r="B24" s="27">
        <f>B23^2</f>
        <v>0.92172221442960611</v>
      </c>
      <c r="C24" s="29" t="s">
        <v>23</v>
      </c>
      <c r="D24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CC53-BE8D-E84E-A2B0-1AC61A759FD1}">
  <dimension ref="B1:K33"/>
  <sheetViews>
    <sheetView zoomScale="171" workbookViewId="0">
      <selection activeCell="K2" sqref="K2"/>
    </sheetView>
  </sheetViews>
  <sheetFormatPr baseColWidth="10" defaultColWidth="8.83203125" defaultRowHeight="15" x14ac:dyDescent="0.2"/>
  <cols>
    <col min="1" max="1" width="8.83203125" style="7"/>
    <col min="2" max="2" width="11.83203125" style="7" bestFit="1" customWidth="1"/>
    <col min="3" max="3" width="4.33203125" style="7" customWidth="1"/>
    <col min="4" max="4" width="9" style="7" customWidth="1"/>
    <col min="5" max="5" width="14.83203125" style="7" customWidth="1"/>
    <col min="6" max="6" width="11.83203125" style="7" bestFit="1" customWidth="1"/>
    <col min="7" max="16384" width="8.83203125" style="7"/>
  </cols>
  <sheetData>
    <row r="1" spans="2:11" x14ac:dyDescent="0.2">
      <c r="F1" s="8"/>
      <c r="G1" s="8" t="s">
        <v>69</v>
      </c>
      <c r="H1" s="8" t="s">
        <v>70</v>
      </c>
      <c r="K1" s="7">
        <f>5*(7-7.5)/1.2</f>
        <v>-2.0833333333333335</v>
      </c>
    </row>
    <row r="2" spans="2:11" x14ac:dyDescent="0.2">
      <c r="B2" s="9" t="s">
        <v>71</v>
      </c>
      <c r="C2" s="9"/>
      <c r="D2" s="9"/>
      <c r="F2" s="8" t="s">
        <v>72</v>
      </c>
      <c r="G2" s="8">
        <f xml:space="preserve"> _xlfn.T.INV(0.9,D12)</f>
        <v>1.2937628979376541</v>
      </c>
      <c r="H2" s="8">
        <f xml:space="preserve"> _xlfn.T.INV(0.95,D12)</f>
        <v>1.6669144790559576</v>
      </c>
    </row>
    <row r="3" spans="2:11" x14ac:dyDescent="0.2">
      <c r="B3" s="10" t="s">
        <v>73</v>
      </c>
      <c r="C3" s="8"/>
      <c r="D3" s="8">
        <v>7</v>
      </c>
      <c r="F3" s="8" t="s">
        <v>74</v>
      </c>
      <c r="G3" s="8">
        <f xml:space="preserve"> _xlfn.T.INV(0.95,D12)</f>
        <v>1.6669144790559576</v>
      </c>
      <c r="H3" s="8">
        <f xml:space="preserve"> _xlfn.T.INV(0.975,D12)</f>
        <v>1.9944371117711854</v>
      </c>
    </row>
    <row r="4" spans="2:11" x14ac:dyDescent="0.2">
      <c r="B4" s="10" t="s">
        <v>75</v>
      </c>
      <c r="C4" s="8"/>
      <c r="D4" s="8">
        <v>7.5</v>
      </c>
      <c r="F4" s="8" t="s">
        <v>76</v>
      </c>
      <c r="G4" s="8">
        <f xml:space="preserve"> _xlfn.T.INV(0.99,D12)</f>
        <v>2.3808074822914329</v>
      </c>
      <c r="H4" s="8">
        <f xml:space="preserve"> _xlfn.T.INV(0.995,D12)</f>
        <v>2.6479046237511512</v>
      </c>
    </row>
    <row r="5" spans="2:11" x14ac:dyDescent="0.2">
      <c r="B5" s="10" t="s">
        <v>77</v>
      </c>
      <c r="C5" s="8"/>
      <c r="D5" s="8">
        <v>0</v>
      </c>
    </row>
    <row r="6" spans="2:11" x14ac:dyDescent="0.2">
      <c r="B6" s="10" t="s">
        <v>78</v>
      </c>
      <c r="C6" s="8"/>
      <c r="D6" s="8">
        <v>36</v>
      </c>
    </row>
    <row r="7" spans="2:11" x14ac:dyDescent="0.2">
      <c r="B7" s="10" t="s">
        <v>79</v>
      </c>
      <c r="C7" s="8"/>
      <c r="D7" s="8">
        <v>36</v>
      </c>
    </row>
    <row r="8" spans="2:11" x14ac:dyDescent="0.2">
      <c r="B8" s="10" t="s">
        <v>80</v>
      </c>
      <c r="C8" s="8"/>
      <c r="D8" s="8">
        <v>1.2</v>
      </c>
    </row>
    <row r="9" spans="2:11" x14ac:dyDescent="0.2">
      <c r="B9" s="10" t="s">
        <v>81</v>
      </c>
      <c r="C9" s="8"/>
      <c r="D9" s="8">
        <v>1.2</v>
      </c>
      <c r="F9" s="7" t="s">
        <v>82</v>
      </c>
      <c r="G9" s="7">
        <f xml:space="preserve"> SQRT(D10 *(1/D6+1/D7)) *H3</f>
        <v>0.56411200255340699</v>
      </c>
    </row>
    <row r="10" spans="2:11" x14ac:dyDescent="0.2">
      <c r="B10" s="10" t="s">
        <v>83</v>
      </c>
      <c r="C10" s="8" t="s">
        <v>84</v>
      </c>
      <c r="D10" s="8">
        <f xml:space="preserve"> ((D6-1)*D8^2 + (D7-1)*D9^2)/(D7+D6-2)</f>
        <v>1.44</v>
      </c>
      <c r="F10" s="7" t="s">
        <v>85</v>
      </c>
      <c r="G10" s="7">
        <f>(D3-D4) + G9</f>
        <v>6.4112002553406988E-2</v>
      </c>
    </row>
    <row r="11" spans="2:11" x14ac:dyDescent="0.2">
      <c r="B11" s="10" t="s">
        <v>86</v>
      </c>
      <c r="C11" s="8" t="s">
        <v>87</v>
      </c>
      <c r="D11" s="8">
        <f xml:space="preserve"> (D3-D4-D5)/(SQRT(D10*(1/D6+1/D7)))</f>
        <v>-1.7677669529663689</v>
      </c>
      <c r="F11" s="7" t="s">
        <v>88</v>
      </c>
      <c r="G11" s="7">
        <f>D3-D4 -G9</f>
        <v>-1.064112002553407</v>
      </c>
    </row>
    <row r="12" spans="2:11" x14ac:dyDescent="0.2">
      <c r="B12" s="10" t="s">
        <v>36</v>
      </c>
      <c r="C12" s="8" t="s">
        <v>89</v>
      </c>
      <c r="D12" s="8">
        <f>D6+D7-2</f>
        <v>70</v>
      </c>
      <c r="F12" s="7" t="s">
        <v>90</v>
      </c>
      <c r="G12" s="7">
        <f>_xlfn.T.DIST.RT(D11,D12)</f>
        <v>0.95927115588527312</v>
      </c>
    </row>
    <row r="13" spans="2:11" x14ac:dyDescent="0.2">
      <c r="B13" s="10" t="s">
        <v>91</v>
      </c>
      <c r="C13" s="8"/>
      <c r="D13" s="8">
        <f>H2</f>
        <v>1.6669144790559576</v>
      </c>
    </row>
    <row r="14" spans="2:11" x14ac:dyDescent="0.2">
      <c r="B14" s="10" t="s">
        <v>92</v>
      </c>
      <c r="C14" s="11" t="s">
        <v>93</v>
      </c>
      <c r="D14" s="8" t="s">
        <v>130</v>
      </c>
    </row>
    <row r="15" spans="2:11" x14ac:dyDescent="0.2">
      <c r="B15" s="10" t="s">
        <v>94</v>
      </c>
      <c r="C15" s="8"/>
      <c r="D15" s="8" t="str">
        <f>IF(AND(D14="left",ABS(D11)&gt;D13),"reject",IF(AND(D14="right",D11&gt;D13),"reject",IF(AND(D14="two",ABS(D11)&gt;D13),"reject","fail to reject")))</f>
        <v>fail to reject</v>
      </c>
    </row>
    <row r="16" spans="2:11" x14ac:dyDescent="0.2">
      <c r="B16" s="10" t="s">
        <v>90</v>
      </c>
      <c r="C16" s="8"/>
      <c r="D16" s="8">
        <f>IF(D14="right",_xlfn.T.DIST.RT(D11,D12),IF(D14="left",_xlfn.T.DIST(D11,D12,TRUE),IF(D14="two",2*_xlfn.T.DIST.RT(D11,D12),"")))</f>
        <v>0.95927115588527312</v>
      </c>
    </row>
    <row r="18" spans="2:8" x14ac:dyDescent="0.2">
      <c r="B18" s="9" t="s">
        <v>95</v>
      </c>
      <c r="C18" s="9"/>
      <c r="D18" s="9"/>
    </row>
    <row r="19" spans="2:8" x14ac:dyDescent="0.2">
      <c r="B19" s="10" t="s">
        <v>73</v>
      </c>
      <c r="C19" s="8"/>
      <c r="D19" s="8">
        <v>41</v>
      </c>
      <c r="F19" s="8"/>
      <c r="G19" s="8" t="s">
        <v>69</v>
      </c>
      <c r="H19" s="8" t="s">
        <v>70</v>
      </c>
    </row>
    <row r="20" spans="2:8" x14ac:dyDescent="0.2">
      <c r="B20" s="10" t="s">
        <v>75</v>
      </c>
      <c r="C20" s="8"/>
      <c r="D20" s="8">
        <v>45</v>
      </c>
      <c r="F20" s="8" t="s">
        <v>72</v>
      </c>
      <c r="G20" s="8">
        <f xml:space="preserve"> _xlfn.T.INV(0.9,D29)</f>
        <v>1.3501712887800554</v>
      </c>
      <c r="H20" s="8">
        <f xml:space="preserve"> _xlfn.T.INV(0.95,D29)</f>
        <v>1.7709333959868729</v>
      </c>
    </row>
    <row r="21" spans="2:8" x14ac:dyDescent="0.2">
      <c r="B21" s="10" t="s">
        <v>77</v>
      </c>
      <c r="C21" s="8"/>
      <c r="D21" s="8">
        <v>0</v>
      </c>
      <c r="F21" s="8" t="s">
        <v>74</v>
      </c>
      <c r="G21" s="8">
        <f xml:space="preserve"> _xlfn.T.INV(0.95,D29)</f>
        <v>1.7709333959868729</v>
      </c>
      <c r="H21" s="8">
        <f xml:space="preserve"> _xlfn.T.INV(0.975,D29)</f>
        <v>2.1603686564627917</v>
      </c>
    </row>
    <row r="22" spans="2:8" x14ac:dyDescent="0.2">
      <c r="B22" s="10" t="s">
        <v>78</v>
      </c>
      <c r="C22" s="8"/>
      <c r="D22" s="8">
        <v>8</v>
      </c>
      <c r="F22" s="8" t="s">
        <v>76</v>
      </c>
      <c r="G22" s="8">
        <f xml:space="preserve"> _xlfn.T.INV(0.99,D29)</f>
        <v>2.6503088379121915</v>
      </c>
      <c r="H22" s="8">
        <f xml:space="preserve"> _xlfn.T.INV(0.995,D29)</f>
        <v>3.0122758387165782</v>
      </c>
    </row>
    <row r="23" spans="2:8" x14ac:dyDescent="0.2">
      <c r="B23" s="10" t="s">
        <v>79</v>
      </c>
      <c r="C23" s="8"/>
      <c r="D23" s="8">
        <v>10</v>
      </c>
    </row>
    <row r="24" spans="2:8" x14ac:dyDescent="0.2">
      <c r="B24" s="10" t="s">
        <v>80</v>
      </c>
      <c r="C24" s="8"/>
      <c r="D24" s="8">
        <v>3</v>
      </c>
    </row>
    <row r="25" spans="2:8" x14ac:dyDescent="0.2">
      <c r="B25" s="10" t="s">
        <v>81</v>
      </c>
      <c r="C25" s="8"/>
      <c r="D25" s="8">
        <v>6</v>
      </c>
    </row>
    <row r="26" spans="2:8" x14ac:dyDescent="0.2">
      <c r="B26" s="10" t="s">
        <v>86</v>
      </c>
      <c r="C26" s="8" t="s">
        <v>96</v>
      </c>
      <c r="D26" s="8">
        <f xml:space="preserve"> (D19-D20-D21)/SQRT(D24^2/D22+D25^2/D23)</f>
        <v>-1.8401748249129446</v>
      </c>
    </row>
    <row r="27" spans="2:8" x14ac:dyDescent="0.2">
      <c r="B27" s="10" t="s">
        <v>97</v>
      </c>
      <c r="C27" s="8" t="s">
        <v>98</v>
      </c>
      <c r="D27" s="8">
        <f>(D24^2/D22 + D25^2/D23)^2</f>
        <v>22.325624999999995</v>
      </c>
    </row>
    <row r="28" spans="2:8" x14ac:dyDescent="0.2">
      <c r="B28" s="10" t="s">
        <v>99</v>
      </c>
      <c r="C28" s="8" t="s">
        <v>100</v>
      </c>
      <c r="D28" s="8">
        <f>(D24^2/D22)^2/(D22-1) + (D25^2/D23)^2/(D23-1)</f>
        <v>1.6208035714285716</v>
      </c>
    </row>
    <row r="29" spans="2:8" x14ac:dyDescent="0.2">
      <c r="B29" s="10" t="s">
        <v>36</v>
      </c>
      <c r="C29" s="8" t="s">
        <v>101</v>
      </c>
      <c r="D29" s="8">
        <f>_xlfn.FLOOR.MATH(D27/D28)</f>
        <v>13</v>
      </c>
    </row>
    <row r="30" spans="2:8" x14ac:dyDescent="0.2">
      <c r="B30" s="10" t="s">
        <v>92</v>
      </c>
      <c r="C30" s="11" t="s">
        <v>93</v>
      </c>
      <c r="D30" s="8" t="s">
        <v>193</v>
      </c>
    </row>
    <row r="31" spans="2:8" x14ac:dyDescent="0.2">
      <c r="B31" s="10" t="s">
        <v>91</v>
      </c>
      <c r="C31" s="8"/>
      <c r="D31" s="8">
        <f>G22</f>
        <v>2.6503088379121915</v>
      </c>
    </row>
    <row r="32" spans="2:8" x14ac:dyDescent="0.2">
      <c r="B32" s="10" t="s">
        <v>94</v>
      </c>
      <c r="C32" s="8"/>
      <c r="D32" s="8" t="str">
        <f>IF(AND(D30="left",ABS(D26)&gt;D31),"reject",IF(AND(D30="right",D26&gt;D31),"reject",IF(AND(D30="two",ABS(D26)&gt;D31),"reject","fail to reject")))</f>
        <v>fail to reject</v>
      </c>
    </row>
    <row r="33" spans="2:4" x14ac:dyDescent="0.2">
      <c r="B33" s="10" t="s">
        <v>90</v>
      </c>
      <c r="C33" s="8"/>
      <c r="D33" s="8">
        <f>IF(D30="right",_xlfn.T.DIST.RT(D26,D29),IF(D30="left",_xlfn.T.DIST(D26,D29,TRUE),IF(D30="two",2*_xlfn.T.DIST.RT(D26,D29),"")))</f>
        <v>4.433953370603666E-2</v>
      </c>
    </row>
  </sheetData>
  <mergeCells count="2">
    <mergeCell ref="B2:D2"/>
    <mergeCell ref="B18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938D-9E9F-0C4D-9A5C-9F737200551F}">
  <dimension ref="A1:G101"/>
  <sheetViews>
    <sheetView topLeftCell="A77" workbookViewId="0">
      <selection activeCell="E101" sqref="E101"/>
    </sheetView>
  </sheetViews>
  <sheetFormatPr baseColWidth="10" defaultRowHeight="16" x14ac:dyDescent="0.2"/>
  <sheetData>
    <row r="1" spans="1:5" x14ac:dyDescent="0.2">
      <c r="A1">
        <v>0.79023006302550058</v>
      </c>
      <c r="B1">
        <f>FLOOR(100+10*A1,1)</f>
        <v>107</v>
      </c>
      <c r="C1">
        <f>B1-120</f>
        <v>-13</v>
      </c>
      <c r="D1">
        <f>C1^2</f>
        <v>169</v>
      </c>
      <c r="E1">
        <f>B1^2</f>
        <v>11449</v>
      </c>
    </row>
    <row r="2" spans="1:5" x14ac:dyDescent="0.2">
      <c r="A2">
        <v>0.10350199075187583</v>
      </c>
      <c r="B2">
        <f t="shared" ref="B2:B65" si="0">FLOOR(100+10*A2,1)</f>
        <v>101</v>
      </c>
      <c r="C2">
        <f t="shared" ref="C2:C65" si="1">B2-120</f>
        <v>-19</v>
      </c>
      <c r="D2">
        <f t="shared" ref="D2:D65" si="2">C2^2</f>
        <v>361</v>
      </c>
      <c r="E2">
        <f t="shared" ref="E2:E65" si="3">B2^2</f>
        <v>10201</v>
      </c>
    </row>
    <row r="3" spans="1:5" x14ac:dyDescent="0.2">
      <c r="A3">
        <v>0.67294868582034062</v>
      </c>
      <c r="B3">
        <f t="shared" si="0"/>
        <v>106</v>
      </c>
      <c r="C3">
        <f t="shared" si="1"/>
        <v>-14</v>
      </c>
      <c r="D3">
        <f t="shared" si="2"/>
        <v>196</v>
      </c>
      <c r="E3">
        <f t="shared" si="3"/>
        <v>11236</v>
      </c>
    </row>
    <row r="4" spans="1:5" x14ac:dyDescent="0.2">
      <c r="A4">
        <v>0.39176944513866396</v>
      </c>
      <c r="B4">
        <f t="shared" si="0"/>
        <v>103</v>
      </c>
      <c r="C4">
        <f t="shared" si="1"/>
        <v>-17</v>
      </c>
      <c r="D4">
        <f t="shared" si="2"/>
        <v>289</v>
      </c>
      <c r="E4">
        <f t="shared" si="3"/>
        <v>10609</v>
      </c>
    </row>
    <row r="5" spans="1:5" x14ac:dyDescent="0.2">
      <c r="A5">
        <v>0.23082964555075858</v>
      </c>
      <c r="B5">
        <f t="shared" si="0"/>
        <v>102</v>
      </c>
      <c r="C5">
        <f t="shared" si="1"/>
        <v>-18</v>
      </c>
      <c r="D5">
        <f t="shared" si="2"/>
        <v>324</v>
      </c>
      <c r="E5">
        <f t="shared" si="3"/>
        <v>10404</v>
      </c>
    </row>
    <row r="6" spans="1:5" x14ac:dyDescent="0.2">
      <c r="A6">
        <v>0.11921099301310223</v>
      </c>
      <c r="B6">
        <f t="shared" si="0"/>
        <v>101</v>
      </c>
      <c r="C6">
        <f t="shared" si="1"/>
        <v>-19</v>
      </c>
      <c r="D6">
        <f t="shared" si="2"/>
        <v>361</v>
      </c>
      <c r="E6">
        <f t="shared" si="3"/>
        <v>10201</v>
      </c>
    </row>
    <row r="7" spans="1:5" x14ac:dyDescent="0.2">
      <c r="A7">
        <v>0.48198429192367165</v>
      </c>
      <c r="B7">
        <f t="shared" si="0"/>
        <v>104</v>
      </c>
      <c r="C7">
        <f t="shared" si="1"/>
        <v>-16</v>
      </c>
      <c r="D7">
        <f t="shared" si="2"/>
        <v>256</v>
      </c>
      <c r="E7">
        <f t="shared" si="3"/>
        <v>10816</v>
      </c>
    </row>
    <row r="8" spans="1:5" x14ac:dyDescent="0.2">
      <c r="A8">
        <v>0.80545509019537398</v>
      </c>
      <c r="B8">
        <f t="shared" si="0"/>
        <v>108</v>
      </c>
      <c r="C8">
        <f t="shared" si="1"/>
        <v>-12</v>
      </c>
      <c r="D8">
        <f t="shared" si="2"/>
        <v>144</v>
      </c>
      <c r="E8">
        <f t="shared" si="3"/>
        <v>11664</v>
      </c>
    </row>
    <row r="9" spans="1:5" x14ac:dyDescent="0.2">
      <c r="A9">
        <v>0.87159930423582344</v>
      </c>
      <c r="B9">
        <f t="shared" si="0"/>
        <v>108</v>
      </c>
      <c r="C9">
        <f t="shared" si="1"/>
        <v>-12</v>
      </c>
      <c r="D9">
        <f t="shared" si="2"/>
        <v>144</v>
      </c>
      <c r="E9">
        <f t="shared" si="3"/>
        <v>11664</v>
      </c>
    </row>
    <row r="10" spans="1:5" x14ac:dyDescent="0.2">
      <c r="A10">
        <v>0.7222763287946492</v>
      </c>
      <c r="B10">
        <f t="shared" si="0"/>
        <v>107</v>
      </c>
      <c r="C10">
        <f t="shared" si="1"/>
        <v>-13</v>
      </c>
      <c r="D10">
        <f t="shared" si="2"/>
        <v>169</v>
      </c>
      <c r="E10">
        <f t="shared" si="3"/>
        <v>11449</v>
      </c>
    </row>
    <row r="11" spans="1:5" x14ac:dyDescent="0.2">
      <c r="A11">
        <v>0.31811698014853929</v>
      </c>
      <c r="B11">
        <f t="shared" si="0"/>
        <v>103</v>
      </c>
      <c r="C11">
        <f t="shared" si="1"/>
        <v>-17</v>
      </c>
      <c r="D11">
        <f t="shared" si="2"/>
        <v>289</v>
      </c>
      <c r="E11">
        <f t="shared" si="3"/>
        <v>10609</v>
      </c>
    </row>
    <row r="12" spans="1:5" x14ac:dyDescent="0.2">
      <c r="A12">
        <v>0.67349953797681461</v>
      </c>
      <c r="B12">
        <f t="shared" si="0"/>
        <v>106</v>
      </c>
      <c r="C12">
        <f t="shared" si="1"/>
        <v>-14</v>
      </c>
      <c r="D12">
        <f t="shared" si="2"/>
        <v>196</v>
      </c>
      <c r="E12">
        <f t="shared" si="3"/>
        <v>11236</v>
      </c>
    </row>
    <row r="13" spans="1:5" x14ac:dyDescent="0.2">
      <c r="A13">
        <v>0.72579832967726465</v>
      </c>
      <c r="B13">
        <f t="shared" si="0"/>
        <v>107</v>
      </c>
      <c r="C13">
        <f t="shared" si="1"/>
        <v>-13</v>
      </c>
      <c r="D13">
        <f t="shared" si="2"/>
        <v>169</v>
      </c>
      <c r="E13">
        <f t="shared" si="3"/>
        <v>11449</v>
      </c>
    </row>
    <row r="14" spans="1:5" x14ac:dyDescent="0.2">
      <c r="A14">
        <v>0.32974356062765831</v>
      </c>
      <c r="B14">
        <f t="shared" si="0"/>
        <v>103</v>
      </c>
      <c r="C14">
        <f t="shared" si="1"/>
        <v>-17</v>
      </c>
      <c r="D14">
        <f t="shared" si="2"/>
        <v>289</v>
      </c>
      <c r="E14">
        <f t="shared" si="3"/>
        <v>10609</v>
      </c>
    </row>
    <row r="15" spans="1:5" x14ac:dyDescent="0.2">
      <c r="A15">
        <v>0.13099915058118028</v>
      </c>
      <c r="B15">
        <f t="shared" si="0"/>
        <v>101</v>
      </c>
      <c r="C15">
        <f t="shared" si="1"/>
        <v>-19</v>
      </c>
      <c r="D15">
        <f t="shared" si="2"/>
        <v>361</v>
      </c>
      <c r="E15">
        <f t="shared" si="3"/>
        <v>10201</v>
      </c>
    </row>
    <row r="16" spans="1:5" x14ac:dyDescent="0.2">
      <c r="A16">
        <v>0.90980549071413375</v>
      </c>
      <c r="B16">
        <f t="shared" si="0"/>
        <v>109</v>
      </c>
      <c r="C16">
        <f t="shared" si="1"/>
        <v>-11</v>
      </c>
      <c r="D16">
        <f t="shared" si="2"/>
        <v>121</v>
      </c>
      <c r="E16">
        <f t="shared" si="3"/>
        <v>11881</v>
      </c>
    </row>
    <row r="17" spans="1:5" x14ac:dyDescent="0.2">
      <c r="A17">
        <v>0.8269900425925647</v>
      </c>
      <c r="B17">
        <f t="shared" si="0"/>
        <v>108</v>
      </c>
      <c r="C17">
        <f t="shared" si="1"/>
        <v>-12</v>
      </c>
      <c r="D17">
        <f t="shared" si="2"/>
        <v>144</v>
      </c>
      <c r="E17">
        <f t="shared" si="3"/>
        <v>11664</v>
      </c>
    </row>
    <row r="18" spans="1:5" x14ac:dyDescent="0.2">
      <c r="A18">
        <v>0.56833666328294463</v>
      </c>
      <c r="B18">
        <f t="shared" si="0"/>
        <v>105</v>
      </c>
      <c r="C18">
        <f t="shared" si="1"/>
        <v>-15</v>
      </c>
      <c r="D18">
        <f t="shared" si="2"/>
        <v>225</v>
      </c>
      <c r="E18">
        <f t="shared" si="3"/>
        <v>11025</v>
      </c>
    </row>
    <row r="19" spans="1:5" x14ac:dyDescent="0.2">
      <c r="A19">
        <v>0.15407026182271411</v>
      </c>
      <c r="B19">
        <f t="shared" si="0"/>
        <v>101</v>
      </c>
      <c r="C19">
        <f t="shared" si="1"/>
        <v>-19</v>
      </c>
      <c r="D19">
        <f t="shared" si="2"/>
        <v>361</v>
      </c>
      <c r="E19">
        <f t="shared" si="3"/>
        <v>10201</v>
      </c>
    </row>
    <row r="20" spans="1:5" x14ac:dyDescent="0.2">
      <c r="A20">
        <v>0.88152795184594757</v>
      </c>
      <c r="B20">
        <f t="shared" si="0"/>
        <v>108</v>
      </c>
      <c r="C20">
        <f t="shared" si="1"/>
        <v>-12</v>
      </c>
      <c r="D20">
        <f t="shared" si="2"/>
        <v>144</v>
      </c>
      <c r="E20">
        <f t="shared" si="3"/>
        <v>11664</v>
      </c>
    </row>
    <row r="21" spans="1:5" x14ac:dyDescent="0.2">
      <c r="A21">
        <v>0.18744866729527543</v>
      </c>
      <c r="B21">
        <f t="shared" si="0"/>
        <v>101</v>
      </c>
      <c r="C21">
        <f t="shared" si="1"/>
        <v>-19</v>
      </c>
      <c r="D21">
        <f t="shared" si="2"/>
        <v>361</v>
      </c>
      <c r="E21">
        <f t="shared" si="3"/>
        <v>10201</v>
      </c>
    </row>
    <row r="22" spans="1:5" x14ac:dyDescent="0.2">
      <c r="A22">
        <v>0.10249854854873763</v>
      </c>
      <c r="B22">
        <f t="shared" si="0"/>
        <v>101</v>
      </c>
      <c r="C22">
        <f t="shared" si="1"/>
        <v>-19</v>
      </c>
      <c r="D22">
        <f t="shared" si="2"/>
        <v>361</v>
      </c>
      <c r="E22">
        <f t="shared" si="3"/>
        <v>10201</v>
      </c>
    </row>
    <row r="23" spans="1:5" x14ac:dyDescent="0.2">
      <c r="A23">
        <v>0.75024678500417841</v>
      </c>
      <c r="B23">
        <f t="shared" si="0"/>
        <v>107</v>
      </c>
      <c r="C23">
        <f t="shared" si="1"/>
        <v>-13</v>
      </c>
      <c r="D23">
        <f t="shared" si="2"/>
        <v>169</v>
      </c>
      <c r="E23">
        <f t="shared" si="3"/>
        <v>11449</v>
      </c>
    </row>
    <row r="24" spans="1:5" x14ac:dyDescent="0.2">
      <c r="A24">
        <v>6.1179117646932624E-2</v>
      </c>
      <c r="B24">
        <f t="shared" si="0"/>
        <v>100</v>
      </c>
      <c r="C24">
        <f t="shared" si="1"/>
        <v>-20</v>
      </c>
      <c r="D24">
        <f t="shared" si="2"/>
        <v>400</v>
      </c>
      <c r="E24">
        <f t="shared" si="3"/>
        <v>10000</v>
      </c>
    </row>
    <row r="25" spans="1:5" x14ac:dyDescent="0.2">
      <c r="A25">
        <v>0.93474395165586144</v>
      </c>
      <c r="B25">
        <f t="shared" si="0"/>
        <v>109</v>
      </c>
      <c r="C25">
        <f t="shared" si="1"/>
        <v>-11</v>
      </c>
      <c r="D25">
        <f t="shared" si="2"/>
        <v>121</v>
      </c>
      <c r="E25">
        <f t="shared" si="3"/>
        <v>11881</v>
      </c>
    </row>
    <row r="26" spans="1:5" x14ac:dyDescent="0.2">
      <c r="A26">
        <v>0.29841569627290543</v>
      </c>
      <c r="B26">
        <f t="shared" si="0"/>
        <v>102</v>
      </c>
      <c r="C26">
        <f t="shared" si="1"/>
        <v>-18</v>
      </c>
      <c r="D26">
        <f t="shared" si="2"/>
        <v>324</v>
      </c>
      <c r="E26">
        <f t="shared" si="3"/>
        <v>10404</v>
      </c>
    </row>
    <row r="27" spans="1:5" x14ac:dyDescent="0.2">
      <c r="A27">
        <v>0.96878029354950612</v>
      </c>
      <c r="B27">
        <f t="shared" si="0"/>
        <v>109</v>
      </c>
      <c r="C27">
        <f t="shared" si="1"/>
        <v>-11</v>
      </c>
      <c r="D27">
        <f t="shared" si="2"/>
        <v>121</v>
      </c>
      <c r="E27">
        <f t="shared" si="3"/>
        <v>11881</v>
      </c>
    </row>
    <row r="28" spans="1:5" x14ac:dyDescent="0.2">
      <c r="A28">
        <v>0.87943507628501805</v>
      </c>
      <c r="B28">
        <f t="shared" si="0"/>
        <v>108</v>
      </c>
      <c r="C28">
        <f t="shared" si="1"/>
        <v>-12</v>
      </c>
      <c r="D28">
        <f t="shared" si="2"/>
        <v>144</v>
      </c>
      <c r="E28">
        <f t="shared" si="3"/>
        <v>11664</v>
      </c>
    </row>
    <row r="29" spans="1:5" x14ac:dyDescent="0.2">
      <c r="A29">
        <v>0.16929684542547285</v>
      </c>
      <c r="B29">
        <f t="shared" si="0"/>
        <v>101</v>
      </c>
      <c r="C29">
        <f t="shared" si="1"/>
        <v>-19</v>
      </c>
      <c r="D29">
        <f t="shared" si="2"/>
        <v>361</v>
      </c>
      <c r="E29">
        <f t="shared" si="3"/>
        <v>10201</v>
      </c>
    </row>
    <row r="30" spans="1:5" x14ac:dyDescent="0.2">
      <c r="A30">
        <v>0.1586775186934789</v>
      </c>
      <c r="B30">
        <f t="shared" si="0"/>
        <v>101</v>
      </c>
      <c r="C30">
        <f t="shared" si="1"/>
        <v>-19</v>
      </c>
      <c r="D30">
        <f t="shared" si="2"/>
        <v>361</v>
      </c>
      <c r="E30">
        <f t="shared" si="3"/>
        <v>10201</v>
      </c>
    </row>
    <row r="31" spans="1:5" x14ac:dyDescent="0.2">
      <c r="A31">
        <v>0.7721124925220928</v>
      </c>
      <c r="B31">
        <f t="shared" si="0"/>
        <v>107</v>
      </c>
      <c r="C31">
        <f t="shared" si="1"/>
        <v>-13</v>
      </c>
      <c r="D31">
        <f t="shared" si="2"/>
        <v>169</v>
      </c>
      <c r="E31">
        <f t="shared" si="3"/>
        <v>11449</v>
      </c>
    </row>
    <row r="32" spans="1:5" x14ac:dyDescent="0.2">
      <c r="A32">
        <v>0.20073399482043597</v>
      </c>
      <c r="B32">
        <f t="shared" si="0"/>
        <v>102</v>
      </c>
      <c r="C32">
        <f t="shared" si="1"/>
        <v>-18</v>
      </c>
      <c r="D32">
        <f t="shared" si="2"/>
        <v>324</v>
      </c>
      <c r="E32">
        <f t="shared" si="3"/>
        <v>10404</v>
      </c>
    </row>
    <row r="33" spans="1:5" x14ac:dyDescent="0.2">
      <c r="A33">
        <v>0.85555348817007582</v>
      </c>
      <c r="B33">
        <f t="shared" si="0"/>
        <v>108</v>
      </c>
      <c r="C33">
        <f t="shared" si="1"/>
        <v>-12</v>
      </c>
      <c r="D33">
        <f t="shared" si="2"/>
        <v>144</v>
      </c>
      <c r="E33">
        <f t="shared" si="3"/>
        <v>11664</v>
      </c>
    </row>
    <row r="34" spans="1:5" x14ac:dyDescent="0.2">
      <c r="A34">
        <v>0.70913865929834607</v>
      </c>
      <c r="B34">
        <f t="shared" si="0"/>
        <v>107</v>
      </c>
      <c r="C34">
        <f t="shared" si="1"/>
        <v>-13</v>
      </c>
      <c r="D34">
        <f t="shared" si="2"/>
        <v>169</v>
      </c>
      <c r="E34">
        <f t="shared" si="3"/>
        <v>11449</v>
      </c>
    </row>
    <row r="35" spans="1:5" x14ac:dyDescent="0.2">
      <c r="A35">
        <v>6.372966487086329E-2</v>
      </c>
      <c r="B35">
        <f t="shared" si="0"/>
        <v>100</v>
      </c>
      <c r="C35">
        <f t="shared" si="1"/>
        <v>-20</v>
      </c>
      <c r="D35">
        <f t="shared" si="2"/>
        <v>400</v>
      </c>
      <c r="E35">
        <f t="shared" si="3"/>
        <v>10000</v>
      </c>
    </row>
    <row r="36" spans="1:5" x14ac:dyDescent="0.2">
      <c r="A36">
        <v>0.92954085761905025</v>
      </c>
      <c r="B36">
        <f t="shared" si="0"/>
        <v>109</v>
      </c>
      <c r="C36">
        <f t="shared" si="1"/>
        <v>-11</v>
      </c>
      <c r="D36">
        <f t="shared" si="2"/>
        <v>121</v>
      </c>
      <c r="E36">
        <f t="shared" si="3"/>
        <v>11881</v>
      </c>
    </row>
    <row r="37" spans="1:5" x14ac:dyDescent="0.2">
      <c r="A37">
        <v>0.42228713617953906</v>
      </c>
      <c r="B37">
        <f t="shared" si="0"/>
        <v>104</v>
      </c>
      <c r="C37">
        <f t="shared" si="1"/>
        <v>-16</v>
      </c>
      <c r="D37">
        <f t="shared" si="2"/>
        <v>256</v>
      </c>
      <c r="E37">
        <f t="shared" si="3"/>
        <v>10816</v>
      </c>
    </row>
    <row r="38" spans="1:5" x14ac:dyDescent="0.2">
      <c r="A38">
        <v>0.26239903831116718</v>
      </c>
      <c r="B38">
        <f t="shared" si="0"/>
        <v>102</v>
      </c>
      <c r="C38">
        <f t="shared" si="1"/>
        <v>-18</v>
      </c>
      <c r="D38">
        <f t="shared" si="2"/>
        <v>324</v>
      </c>
      <c r="E38">
        <f t="shared" si="3"/>
        <v>10404</v>
      </c>
    </row>
    <row r="39" spans="1:5" x14ac:dyDescent="0.2">
      <c r="A39">
        <v>0.32268945400550453</v>
      </c>
      <c r="B39">
        <f t="shared" si="0"/>
        <v>103</v>
      </c>
      <c r="C39">
        <f t="shared" si="1"/>
        <v>-17</v>
      </c>
      <c r="D39">
        <f t="shared" si="2"/>
        <v>289</v>
      </c>
      <c r="E39">
        <f t="shared" si="3"/>
        <v>10609</v>
      </c>
    </row>
    <row r="40" spans="1:5" x14ac:dyDescent="0.2">
      <c r="A40">
        <v>0.97666078751891439</v>
      </c>
      <c r="B40">
        <f t="shared" si="0"/>
        <v>109</v>
      </c>
      <c r="C40">
        <f t="shared" si="1"/>
        <v>-11</v>
      </c>
      <c r="D40">
        <f t="shared" si="2"/>
        <v>121</v>
      </c>
      <c r="E40">
        <f t="shared" si="3"/>
        <v>11881</v>
      </c>
    </row>
    <row r="41" spans="1:5" x14ac:dyDescent="0.2">
      <c r="A41">
        <v>0.22738069083006307</v>
      </c>
      <c r="B41">
        <f t="shared" si="0"/>
        <v>102</v>
      </c>
      <c r="C41">
        <f t="shared" si="1"/>
        <v>-18</v>
      </c>
      <c r="D41">
        <f t="shared" si="2"/>
        <v>324</v>
      </c>
      <c r="E41">
        <f t="shared" si="3"/>
        <v>10404</v>
      </c>
    </row>
    <row r="42" spans="1:5" x14ac:dyDescent="0.2">
      <c r="A42">
        <v>0.56749202965646239</v>
      </c>
      <c r="B42">
        <f t="shared" si="0"/>
        <v>105</v>
      </c>
      <c r="C42">
        <f t="shared" si="1"/>
        <v>-15</v>
      </c>
      <c r="D42">
        <f t="shared" si="2"/>
        <v>225</v>
      </c>
      <c r="E42">
        <f t="shared" si="3"/>
        <v>11025</v>
      </c>
    </row>
    <row r="43" spans="1:5" x14ac:dyDescent="0.2">
      <c r="A43">
        <v>0.37957431195822577</v>
      </c>
      <c r="B43">
        <f t="shared" si="0"/>
        <v>103</v>
      </c>
      <c r="C43">
        <f t="shared" si="1"/>
        <v>-17</v>
      </c>
      <c r="D43">
        <f t="shared" si="2"/>
        <v>289</v>
      </c>
      <c r="E43">
        <f t="shared" si="3"/>
        <v>10609</v>
      </c>
    </row>
    <row r="44" spans="1:5" x14ac:dyDescent="0.2">
      <c r="A44">
        <v>0.56943661851787175</v>
      </c>
      <c r="B44">
        <f t="shared" si="0"/>
        <v>105</v>
      </c>
      <c r="C44">
        <f t="shared" si="1"/>
        <v>-15</v>
      </c>
      <c r="D44">
        <f t="shared" si="2"/>
        <v>225</v>
      </c>
      <c r="E44">
        <f t="shared" si="3"/>
        <v>11025</v>
      </c>
    </row>
    <row r="45" spans="1:5" x14ac:dyDescent="0.2">
      <c r="A45">
        <v>0.52254695415309171</v>
      </c>
      <c r="B45">
        <f t="shared" si="0"/>
        <v>105</v>
      </c>
      <c r="C45">
        <f t="shared" si="1"/>
        <v>-15</v>
      </c>
      <c r="D45">
        <f t="shared" si="2"/>
        <v>225</v>
      </c>
      <c r="E45">
        <f t="shared" si="3"/>
        <v>11025</v>
      </c>
    </row>
    <row r="46" spans="1:5" x14ac:dyDescent="0.2">
      <c r="A46">
        <v>0.52874277850301399</v>
      </c>
      <c r="B46">
        <f t="shared" si="0"/>
        <v>105</v>
      </c>
      <c r="C46">
        <f t="shared" si="1"/>
        <v>-15</v>
      </c>
      <c r="D46">
        <f t="shared" si="2"/>
        <v>225</v>
      </c>
      <c r="E46">
        <f t="shared" si="3"/>
        <v>11025</v>
      </c>
    </row>
    <row r="47" spans="1:5" x14ac:dyDescent="0.2">
      <c r="A47">
        <v>0.1851069888096466</v>
      </c>
      <c r="B47">
        <f t="shared" si="0"/>
        <v>101</v>
      </c>
      <c r="C47">
        <f t="shared" si="1"/>
        <v>-19</v>
      </c>
      <c r="D47">
        <f t="shared" si="2"/>
        <v>361</v>
      </c>
      <c r="E47">
        <f t="shared" si="3"/>
        <v>10201</v>
      </c>
    </row>
    <row r="48" spans="1:5" x14ac:dyDescent="0.2">
      <c r="A48">
        <v>0.58110458858218861</v>
      </c>
      <c r="B48">
        <f t="shared" si="0"/>
        <v>105</v>
      </c>
      <c r="C48">
        <f t="shared" si="1"/>
        <v>-15</v>
      </c>
      <c r="D48">
        <f t="shared" si="2"/>
        <v>225</v>
      </c>
      <c r="E48">
        <f t="shared" si="3"/>
        <v>11025</v>
      </c>
    </row>
    <row r="49" spans="1:5" x14ac:dyDescent="0.2">
      <c r="A49">
        <v>0.6182205364947585</v>
      </c>
      <c r="B49">
        <f t="shared" si="0"/>
        <v>106</v>
      </c>
      <c r="C49">
        <f t="shared" si="1"/>
        <v>-14</v>
      </c>
      <c r="D49">
        <f t="shared" si="2"/>
        <v>196</v>
      </c>
      <c r="E49">
        <f t="shared" si="3"/>
        <v>11236</v>
      </c>
    </row>
    <row r="50" spans="1:5" x14ac:dyDescent="0.2">
      <c r="A50">
        <v>0.87612879803392507</v>
      </c>
      <c r="B50">
        <f t="shared" si="0"/>
        <v>108</v>
      </c>
      <c r="C50">
        <f t="shared" si="1"/>
        <v>-12</v>
      </c>
      <c r="D50">
        <f t="shared" si="2"/>
        <v>144</v>
      </c>
      <c r="E50">
        <f t="shared" si="3"/>
        <v>11664</v>
      </c>
    </row>
    <row r="51" spans="1:5" x14ac:dyDescent="0.2">
      <c r="A51">
        <v>0.65918888393427755</v>
      </c>
      <c r="B51">
        <f t="shared" si="0"/>
        <v>106</v>
      </c>
      <c r="C51">
        <f t="shared" si="1"/>
        <v>-14</v>
      </c>
      <c r="D51">
        <f t="shared" si="2"/>
        <v>196</v>
      </c>
      <c r="E51">
        <f t="shared" si="3"/>
        <v>11236</v>
      </c>
    </row>
    <row r="52" spans="1:5" x14ac:dyDescent="0.2">
      <c r="A52">
        <v>8.7776512127537676E-2</v>
      </c>
      <c r="B52">
        <f t="shared" si="0"/>
        <v>100</v>
      </c>
      <c r="C52">
        <f t="shared" si="1"/>
        <v>-20</v>
      </c>
      <c r="D52">
        <f t="shared" si="2"/>
        <v>400</v>
      </c>
      <c r="E52">
        <f t="shared" si="3"/>
        <v>10000</v>
      </c>
    </row>
    <row r="53" spans="1:5" x14ac:dyDescent="0.2">
      <c r="A53">
        <v>0.95526419900803039</v>
      </c>
      <c r="B53">
        <f t="shared" si="0"/>
        <v>109</v>
      </c>
      <c r="C53">
        <f t="shared" si="1"/>
        <v>-11</v>
      </c>
      <c r="D53">
        <f t="shared" si="2"/>
        <v>121</v>
      </c>
      <c r="E53">
        <f t="shared" si="3"/>
        <v>11881</v>
      </c>
    </row>
    <row r="54" spans="1:5" x14ac:dyDescent="0.2">
      <c r="A54">
        <v>0.39500243556012415</v>
      </c>
      <c r="B54">
        <f t="shared" si="0"/>
        <v>103</v>
      </c>
      <c r="C54">
        <f t="shared" si="1"/>
        <v>-17</v>
      </c>
      <c r="D54">
        <f t="shared" si="2"/>
        <v>289</v>
      </c>
      <c r="E54">
        <f t="shared" si="3"/>
        <v>10609</v>
      </c>
    </row>
    <row r="55" spans="1:5" x14ac:dyDescent="0.2">
      <c r="A55">
        <v>8.2745840532632786E-2</v>
      </c>
      <c r="B55">
        <f t="shared" si="0"/>
        <v>100</v>
      </c>
      <c r="C55">
        <f t="shared" si="1"/>
        <v>-20</v>
      </c>
      <c r="D55">
        <f t="shared" si="2"/>
        <v>400</v>
      </c>
      <c r="E55">
        <f t="shared" si="3"/>
        <v>10000</v>
      </c>
    </row>
    <row r="56" spans="1:5" x14ac:dyDescent="0.2">
      <c r="A56">
        <v>0.71063104810183575</v>
      </c>
      <c r="B56">
        <f t="shared" si="0"/>
        <v>107</v>
      </c>
      <c r="C56">
        <f t="shared" si="1"/>
        <v>-13</v>
      </c>
      <c r="D56">
        <f t="shared" si="2"/>
        <v>169</v>
      </c>
      <c r="E56">
        <f t="shared" si="3"/>
        <v>11449</v>
      </c>
    </row>
    <row r="57" spans="1:5" x14ac:dyDescent="0.2">
      <c r="A57">
        <v>0.14190749685391613</v>
      </c>
      <c r="B57">
        <f t="shared" si="0"/>
        <v>101</v>
      </c>
      <c r="C57">
        <f t="shared" si="1"/>
        <v>-19</v>
      </c>
      <c r="D57">
        <f t="shared" si="2"/>
        <v>361</v>
      </c>
      <c r="E57">
        <f t="shared" si="3"/>
        <v>10201</v>
      </c>
    </row>
    <row r="58" spans="1:5" x14ac:dyDescent="0.2">
      <c r="A58">
        <v>0.88869222524564095</v>
      </c>
      <c r="B58">
        <f t="shared" si="0"/>
        <v>108</v>
      </c>
      <c r="C58">
        <f t="shared" si="1"/>
        <v>-12</v>
      </c>
      <c r="D58">
        <f t="shared" si="2"/>
        <v>144</v>
      </c>
      <c r="E58">
        <f t="shared" si="3"/>
        <v>11664</v>
      </c>
    </row>
    <row r="59" spans="1:5" x14ac:dyDescent="0.2">
      <c r="A59">
        <v>4.4509583213295678E-2</v>
      </c>
      <c r="B59">
        <f t="shared" si="0"/>
        <v>100</v>
      </c>
      <c r="C59">
        <f t="shared" si="1"/>
        <v>-20</v>
      </c>
      <c r="D59">
        <f t="shared" si="2"/>
        <v>400</v>
      </c>
      <c r="E59">
        <f t="shared" si="3"/>
        <v>10000</v>
      </c>
    </row>
    <row r="60" spans="1:5" x14ac:dyDescent="0.2">
      <c r="A60">
        <v>0.34822248069093453</v>
      </c>
      <c r="B60">
        <f t="shared" si="0"/>
        <v>103</v>
      </c>
      <c r="C60">
        <f t="shared" si="1"/>
        <v>-17</v>
      </c>
      <c r="D60">
        <f t="shared" si="2"/>
        <v>289</v>
      </c>
      <c r="E60">
        <f t="shared" si="3"/>
        <v>10609</v>
      </c>
    </row>
    <row r="61" spans="1:5" x14ac:dyDescent="0.2">
      <c r="A61">
        <v>0.20247370104216744</v>
      </c>
      <c r="B61">
        <f t="shared" si="0"/>
        <v>102</v>
      </c>
      <c r="C61">
        <f t="shared" si="1"/>
        <v>-18</v>
      </c>
      <c r="D61">
        <f t="shared" si="2"/>
        <v>324</v>
      </c>
      <c r="E61">
        <f t="shared" si="3"/>
        <v>10404</v>
      </c>
    </row>
    <row r="62" spans="1:5" x14ac:dyDescent="0.2">
      <c r="A62">
        <v>0.10115241132290764</v>
      </c>
      <c r="B62">
        <f t="shared" si="0"/>
        <v>101</v>
      </c>
      <c r="C62">
        <f t="shared" si="1"/>
        <v>-19</v>
      </c>
      <c r="D62">
        <f t="shared" si="2"/>
        <v>361</v>
      </c>
      <c r="E62">
        <f t="shared" si="3"/>
        <v>10201</v>
      </c>
    </row>
    <row r="63" spans="1:5" x14ac:dyDescent="0.2">
      <c r="A63">
        <v>0.44252372462657008</v>
      </c>
      <c r="B63">
        <f t="shared" si="0"/>
        <v>104</v>
      </c>
      <c r="C63">
        <f t="shared" si="1"/>
        <v>-16</v>
      </c>
      <c r="D63">
        <f t="shared" si="2"/>
        <v>256</v>
      </c>
      <c r="E63">
        <f t="shared" si="3"/>
        <v>10816</v>
      </c>
    </row>
    <row r="64" spans="1:5" x14ac:dyDescent="0.2">
      <c r="A64">
        <v>0.90232914030324385</v>
      </c>
      <c r="B64">
        <f t="shared" si="0"/>
        <v>109</v>
      </c>
      <c r="C64">
        <f t="shared" si="1"/>
        <v>-11</v>
      </c>
      <c r="D64">
        <f t="shared" si="2"/>
        <v>121</v>
      </c>
      <c r="E64">
        <f t="shared" si="3"/>
        <v>11881</v>
      </c>
    </row>
    <row r="65" spans="1:5" x14ac:dyDescent="0.2">
      <c r="A65">
        <v>0.73410004656281203</v>
      </c>
      <c r="B65">
        <f t="shared" si="0"/>
        <v>107</v>
      </c>
      <c r="C65">
        <f t="shared" si="1"/>
        <v>-13</v>
      </c>
      <c r="D65">
        <f t="shared" si="2"/>
        <v>169</v>
      </c>
      <c r="E65">
        <f t="shared" si="3"/>
        <v>11449</v>
      </c>
    </row>
    <row r="66" spans="1:5" x14ac:dyDescent="0.2">
      <c r="A66">
        <v>0.86295978584683786</v>
      </c>
      <c r="B66">
        <f t="shared" ref="B66:B100" si="4">FLOOR(100+10*A66,1)</f>
        <v>108</v>
      </c>
      <c r="C66">
        <f t="shared" ref="C66:C100" si="5">B66-120</f>
        <v>-12</v>
      </c>
      <c r="D66">
        <f t="shared" ref="D66:D100" si="6">C66^2</f>
        <v>144</v>
      </c>
      <c r="E66">
        <f t="shared" ref="E66:E100" si="7">B66^2</f>
        <v>11664</v>
      </c>
    </row>
    <row r="67" spans="1:5" x14ac:dyDescent="0.2">
      <c r="A67">
        <v>0.37438337355594886</v>
      </c>
      <c r="B67">
        <f t="shared" si="4"/>
        <v>103</v>
      </c>
      <c r="C67">
        <f t="shared" si="5"/>
        <v>-17</v>
      </c>
      <c r="D67">
        <f t="shared" si="6"/>
        <v>289</v>
      </c>
      <c r="E67">
        <f t="shared" si="7"/>
        <v>10609</v>
      </c>
    </row>
    <row r="68" spans="1:5" x14ac:dyDescent="0.2">
      <c r="A68">
        <v>0.5880062695886773</v>
      </c>
      <c r="B68">
        <f t="shared" si="4"/>
        <v>105</v>
      </c>
      <c r="C68">
        <f t="shared" si="5"/>
        <v>-15</v>
      </c>
      <c r="D68">
        <f t="shared" si="6"/>
        <v>225</v>
      </c>
      <c r="E68">
        <f t="shared" si="7"/>
        <v>11025</v>
      </c>
    </row>
    <row r="69" spans="1:5" x14ac:dyDescent="0.2">
      <c r="A69">
        <v>1.6128442149701661E-2</v>
      </c>
      <c r="B69">
        <f t="shared" si="4"/>
        <v>100</v>
      </c>
      <c r="C69">
        <f t="shared" si="5"/>
        <v>-20</v>
      </c>
      <c r="D69">
        <f t="shared" si="6"/>
        <v>400</v>
      </c>
      <c r="E69">
        <f t="shared" si="7"/>
        <v>10000</v>
      </c>
    </row>
    <row r="70" spans="1:5" x14ac:dyDescent="0.2">
      <c r="A70">
        <v>0.77264516670435268</v>
      </c>
      <c r="B70">
        <f t="shared" si="4"/>
        <v>107</v>
      </c>
      <c r="C70">
        <f t="shared" si="5"/>
        <v>-13</v>
      </c>
      <c r="D70">
        <f t="shared" si="6"/>
        <v>169</v>
      </c>
      <c r="E70">
        <f t="shared" si="7"/>
        <v>11449</v>
      </c>
    </row>
    <row r="71" spans="1:5" x14ac:dyDescent="0.2">
      <c r="A71">
        <v>0.71937841546117409</v>
      </c>
      <c r="B71">
        <f t="shared" si="4"/>
        <v>107</v>
      </c>
      <c r="C71">
        <f t="shared" si="5"/>
        <v>-13</v>
      </c>
      <c r="D71">
        <f t="shared" si="6"/>
        <v>169</v>
      </c>
      <c r="E71">
        <f t="shared" si="7"/>
        <v>11449</v>
      </c>
    </row>
    <row r="72" spans="1:5" x14ac:dyDescent="0.2">
      <c r="A72">
        <v>0.57416737295839559</v>
      </c>
      <c r="B72">
        <f t="shared" si="4"/>
        <v>105</v>
      </c>
      <c r="C72">
        <f t="shared" si="5"/>
        <v>-15</v>
      </c>
      <c r="D72">
        <f t="shared" si="6"/>
        <v>225</v>
      </c>
      <c r="E72">
        <f t="shared" si="7"/>
        <v>11025</v>
      </c>
    </row>
    <row r="73" spans="1:5" x14ac:dyDescent="0.2">
      <c r="A73">
        <v>0.58027903321648122</v>
      </c>
      <c r="B73">
        <f t="shared" si="4"/>
        <v>105</v>
      </c>
      <c r="C73">
        <f t="shared" si="5"/>
        <v>-15</v>
      </c>
      <c r="D73">
        <f t="shared" si="6"/>
        <v>225</v>
      </c>
      <c r="E73">
        <f t="shared" si="7"/>
        <v>11025</v>
      </c>
    </row>
    <row r="74" spans="1:5" x14ac:dyDescent="0.2">
      <c r="A74">
        <v>0.28515400906105237</v>
      </c>
      <c r="B74">
        <f t="shared" si="4"/>
        <v>102</v>
      </c>
      <c r="C74">
        <f t="shared" si="5"/>
        <v>-18</v>
      </c>
      <c r="D74">
        <f t="shared" si="6"/>
        <v>324</v>
      </c>
      <c r="E74">
        <f t="shared" si="7"/>
        <v>10404</v>
      </c>
    </row>
    <row r="75" spans="1:5" x14ac:dyDescent="0.2">
      <c r="A75">
        <v>6.8163416384574349E-2</v>
      </c>
      <c r="B75">
        <f t="shared" si="4"/>
        <v>100</v>
      </c>
      <c r="C75">
        <f t="shared" si="5"/>
        <v>-20</v>
      </c>
      <c r="D75">
        <f t="shared" si="6"/>
        <v>400</v>
      </c>
      <c r="E75">
        <f t="shared" si="7"/>
        <v>10000</v>
      </c>
    </row>
    <row r="76" spans="1:5" x14ac:dyDescent="0.2">
      <c r="A76">
        <v>0.3030873852010878</v>
      </c>
      <c r="B76">
        <f t="shared" si="4"/>
        <v>103</v>
      </c>
      <c r="C76">
        <f t="shared" si="5"/>
        <v>-17</v>
      </c>
      <c r="D76">
        <f t="shared" si="6"/>
        <v>289</v>
      </c>
      <c r="E76">
        <f t="shared" si="7"/>
        <v>10609</v>
      </c>
    </row>
    <row r="77" spans="1:5" x14ac:dyDescent="0.2">
      <c r="A77">
        <v>0.63382910192326869</v>
      </c>
      <c r="B77">
        <f t="shared" si="4"/>
        <v>106</v>
      </c>
      <c r="C77">
        <f t="shared" si="5"/>
        <v>-14</v>
      </c>
      <c r="D77">
        <f t="shared" si="6"/>
        <v>196</v>
      </c>
      <c r="E77">
        <f t="shared" si="7"/>
        <v>11236</v>
      </c>
    </row>
    <row r="78" spans="1:5" x14ac:dyDescent="0.2">
      <c r="A78">
        <v>0.99546134064435399</v>
      </c>
      <c r="B78">
        <f t="shared" si="4"/>
        <v>109</v>
      </c>
      <c r="C78">
        <f t="shared" si="5"/>
        <v>-11</v>
      </c>
      <c r="D78">
        <f t="shared" si="6"/>
        <v>121</v>
      </c>
      <c r="E78">
        <f t="shared" si="7"/>
        <v>11881</v>
      </c>
    </row>
    <row r="79" spans="1:5" x14ac:dyDescent="0.2">
      <c r="A79">
        <v>0.37234680323427838</v>
      </c>
      <c r="B79">
        <f t="shared" si="4"/>
        <v>103</v>
      </c>
      <c r="C79">
        <f t="shared" si="5"/>
        <v>-17</v>
      </c>
      <c r="D79">
        <f t="shared" si="6"/>
        <v>289</v>
      </c>
      <c r="E79">
        <f t="shared" si="7"/>
        <v>10609</v>
      </c>
    </row>
    <row r="80" spans="1:5" x14ac:dyDescent="0.2">
      <c r="A80">
        <v>0.18585902600172821</v>
      </c>
      <c r="B80">
        <f t="shared" si="4"/>
        <v>101</v>
      </c>
      <c r="C80">
        <f t="shared" si="5"/>
        <v>-19</v>
      </c>
      <c r="D80">
        <f t="shared" si="6"/>
        <v>361</v>
      </c>
      <c r="E80">
        <f t="shared" si="7"/>
        <v>10201</v>
      </c>
    </row>
    <row r="81" spans="1:5" x14ac:dyDescent="0.2">
      <c r="A81">
        <v>0.16399822354018145</v>
      </c>
      <c r="B81">
        <f t="shared" si="4"/>
        <v>101</v>
      </c>
      <c r="C81">
        <f t="shared" si="5"/>
        <v>-19</v>
      </c>
      <c r="D81">
        <f t="shared" si="6"/>
        <v>361</v>
      </c>
      <c r="E81">
        <f t="shared" si="7"/>
        <v>10201</v>
      </c>
    </row>
    <row r="82" spans="1:5" x14ac:dyDescent="0.2">
      <c r="A82">
        <v>0.39691148271637433</v>
      </c>
      <c r="B82">
        <f t="shared" si="4"/>
        <v>103</v>
      </c>
      <c r="C82">
        <f t="shared" si="5"/>
        <v>-17</v>
      </c>
      <c r="D82">
        <f t="shared" si="6"/>
        <v>289</v>
      </c>
      <c r="E82">
        <f t="shared" si="7"/>
        <v>10609</v>
      </c>
    </row>
    <row r="83" spans="1:5" x14ac:dyDescent="0.2">
      <c r="A83">
        <v>0.96615502668638376</v>
      </c>
      <c r="B83">
        <f t="shared" si="4"/>
        <v>109</v>
      </c>
      <c r="C83">
        <f t="shared" si="5"/>
        <v>-11</v>
      </c>
      <c r="D83">
        <f t="shared" si="6"/>
        <v>121</v>
      </c>
      <c r="E83">
        <f t="shared" si="7"/>
        <v>11881</v>
      </c>
    </row>
    <row r="84" spans="1:5" x14ac:dyDescent="0.2">
      <c r="A84">
        <v>0.52285958034068758</v>
      </c>
      <c r="B84">
        <f t="shared" si="4"/>
        <v>105</v>
      </c>
      <c r="C84">
        <f t="shared" si="5"/>
        <v>-15</v>
      </c>
      <c r="D84">
        <f t="shared" si="6"/>
        <v>225</v>
      </c>
      <c r="E84">
        <f t="shared" si="7"/>
        <v>11025</v>
      </c>
    </row>
    <row r="85" spans="1:5" x14ac:dyDescent="0.2">
      <c r="A85">
        <v>3.6885200385597061E-2</v>
      </c>
      <c r="B85">
        <f t="shared" si="4"/>
        <v>100</v>
      </c>
      <c r="C85">
        <f t="shared" si="5"/>
        <v>-20</v>
      </c>
      <c r="D85">
        <f t="shared" si="6"/>
        <v>400</v>
      </c>
      <c r="E85">
        <f t="shared" si="7"/>
        <v>10000</v>
      </c>
    </row>
    <row r="86" spans="1:5" x14ac:dyDescent="0.2">
      <c r="A86">
        <v>0.46089339287306186</v>
      </c>
      <c r="B86">
        <f t="shared" si="4"/>
        <v>104</v>
      </c>
      <c r="C86">
        <f t="shared" si="5"/>
        <v>-16</v>
      </c>
      <c r="D86">
        <f t="shared" si="6"/>
        <v>256</v>
      </c>
      <c r="E86">
        <f t="shared" si="7"/>
        <v>10816</v>
      </c>
    </row>
    <row r="87" spans="1:5" x14ac:dyDescent="0.2">
      <c r="A87">
        <v>0.38452809162117263</v>
      </c>
      <c r="B87">
        <f t="shared" si="4"/>
        <v>103</v>
      </c>
      <c r="C87">
        <f t="shared" si="5"/>
        <v>-17</v>
      </c>
      <c r="D87">
        <f t="shared" si="6"/>
        <v>289</v>
      </c>
      <c r="E87">
        <f t="shared" si="7"/>
        <v>10609</v>
      </c>
    </row>
    <row r="88" spans="1:5" x14ac:dyDescent="0.2">
      <c r="A88">
        <v>0.96021930515162512</v>
      </c>
      <c r="B88">
        <f t="shared" si="4"/>
        <v>109</v>
      </c>
      <c r="C88">
        <f t="shared" si="5"/>
        <v>-11</v>
      </c>
      <c r="D88">
        <f t="shared" si="6"/>
        <v>121</v>
      </c>
      <c r="E88">
        <f t="shared" si="7"/>
        <v>11881</v>
      </c>
    </row>
    <row r="89" spans="1:5" x14ac:dyDescent="0.2">
      <c r="A89">
        <v>0.36696631738551977</v>
      </c>
      <c r="B89">
        <f t="shared" si="4"/>
        <v>103</v>
      </c>
      <c r="C89">
        <f t="shared" si="5"/>
        <v>-17</v>
      </c>
      <c r="D89">
        <f t="shared" si="6"/>
        <v>289</v>
      </c>
      <c r="E89">
        <f t="shared" si="7"/>
        <v>10609</v>
      </c>
    </row>
    <row r="90" spans="1:5" x14ac:dyDescent="0.2">
      <c r="A90">
        <v>0.45232169388658694</v>
      </c>
      <c r="B90">
        <f t="shared" si="4"/>
        <v>104</v>
      </c>
      <c r="C90">
        <f t="shared" si="5"/>
        <v>-16</v>
      </c>
      <c r="D90">
        <f t="shared" si="6"/>
        <v>256</v>
      </c>
      <c r="E90">
        <f t="shared" si="7"/>
        <v>10816</v>
      </c>
    </row>
    <row r="91" spans="1:5" x14ac:dyDescent="0.2">
      <c r="A91">
        <v>0.33384681324461984</v>
      </c>
      <c r="B91">
        <f t="shared" si="4"/>
        <v>103</v>
      </c>
      <c r="C91">
        <f t="shared" si="5"/>
        <v>-17</v>
      </c>
      <c r="D91">
        <f t="shared" si="6"/>
        <v>289</v>
      </c>
      <c r="E91">
        <f t="shared" si="7"/>
        <v>10609</v>
      </c>
    </row>
    <row r="92" spans="1:5" x14ac:dyDescent="0.2">
      <c r="A92">
        <v>0.97573217453835559</v>
      </c>
      <c r="B92">
        <f t="shared" si="4"/>
        <v>109</v>
      </c>
      <c r="C92">
        <f t="shared" si="5"/>
        <v>-11</v>
      </c>
      <c r="D92">
        <f t="shared" si="6"/>
        <v>121</v>
      </c>
      <c r="E92">
        <f t="shared" si="7"/>
        <v>11881</v>
      </c>
    </row>
    <row r="93" spans="1:5" x14ac:dyDescent="0.2">
      <c r="A93">
        <v>0.70326656844753288</v>
      </c>
      <c r="B93">
        <f t="shared" si="4"/>
        <v>107</v>
      </c>
      <c r="C93">
        <f t="shared" si="5"/>
        <v>-13</v>
      </c>
      <c r="D93">
        <f t="shared" si="6"/>
        <v>169</v>
      </c>
      <c r="E93">
        <f t="shared" si="7"/>
        <v>11449</v>
      </c>
    </row>
    <row r="94" spans="1:5" x14ac:dyDescent="0.2">
      <c r="A94">
        <v>3.0999616781162476E-2</v>
      </c>
      <c r="B94">
        <f t="shared" si="4"/>
        <v>100</v>
      </c>
      <c r="C94">
        <f t="shared" si="5"/>
        <v>-20</v>
      </c>
      <c r="D94">
        <f t="shared" si="6"/>
        <v>400</v>
      </c>
      <c r="E94">
        <f t="shared" si="7"/>
        <v>10000</v>
      </c>
    </row>
    <row r="95" spans="1:5" x14ac:dyDescent="0.2">
      <c r="A95">
        <v>0.95197735568851161</v>
      </c>
      <c r="B95">
        <f t="shared" si="4"/>
        <v>109</v>
      </c>
      <c r="C95">
        <f t="shared" si="5"/>
        <v>-11</v>
      </c>
      <c r="D95">
        <f t="shared" si="6"/>
        <v>121</v>
      </c>
      <c r="E95">
        <f t="shared" si="7"/>
        <v>11881</v>
      </c>
    </row>
    <row r="96" spans="1:5" x14ac:dyDescent="0.2">
      <c r="A96">
        <v>0.96315922885084737</v>
      </c>
      <c r="B96">
        <f t="shared" si="4"/>
        <v>109</v>
      </c>
      <c r="C96">
        <f t="shared" si="5"/>
        <v>-11</v>
      </c>
      <c r="D96">
        <f t="shared" si="6"/>
        <v>121</v>
      </c>
      <c r="E96">
        <f t="shared" si="7"/>
        <v>11881</v>
      </c>
    </row>
    <row r="97" spans="1:7" x14ac:dyDescent="0.2">
      <c r="A97">
        <v>0.71855602557816212</v>
      </c>
      <c r="B97">
        <f t="shared" si="4"/>
        <v>107</v>
      </c>
      <c r="C97">
        <f t="shared" si="5"/>
        <v>-13</v>
      </c>
      <c r="D97">
        <f t="shared" si="6"/>
        <v>169</v>
      </c>
      <c r="E97">
        <f t="shared" si="7"/>
        <v>11449</v>
      </c>
    </row>
    <row r="98" spans="1:7" x14ac:dyDescent="0.2">
      <c r="A98">
        <v>0.11269349466713441</v>
      </c>
      <c r="B98">
        <f t="shared" si="4"/>
        <v>101</v>
      </c>
      <c r="C98">
        <f t="shared" si="5"/>
        <v>-19</v>
      </c>
      <c r="D98">
        <f t="shared" si="6"/>
        <v>361</v>
      </c>
      <c r="E98">
        <f t="shared" si="7"/>
        <v>10201</v>
      </c>
    </row>
    <row r="99" spans="1:7" x14ac:dyDescent="0.2">
      <c r="A99">
        <v>0.62588203841220535</v>
      </c>
      <c r="B99">
        <f t="shared" si="4"/>
        <v>106</v>
      </c>
      <c r="C99">
        <f t="shared" si="5"/>
        <v>-14</v>
      </c>
      <c r="D99">
        <f t="shared" si="6"/>
        <v>196</v>
      </c>
      <c r="E99">
        <f t="shared" si="7"/>
        <v>11236</v>
      </c>
    </row>
    <row r="100" spans="1:7" x14ac:dyDescent="0.2">
      <c r="A100">
        <v>0.96048341354229605</v>
      </c>
      <c r="B100">
        <f t="shared" si="4"/>
        <v>109</v>
      </c>
      <c r="C100">
        <f t="shared" si="5"/>
        <v>-11</v>
      </c>
      <c r="D100">
        <f t="shared" si="6"/>
        <v>121</v>
      </c>
      <c r="E100">
        <f t="shared" si="7"/>
        <v>11881</v>
      </c>
    </row>
    <row r="101" spans="1:7" x14ac:dyDescent="0.2">
      <c r="C101">
        <f t="shared" ref="C101:E101" si="8">SUM(C1:C100)</f>
        <v>-1542</v>
      </c>
      <c r="D101">
        <f t="shared" si="8"/>
        <v>24692</v>
      </c>
      <c r="E101">
        <f t="shared" si="8"/>
        <v>1094612</v>
      </c>
      <c r="F101">
        <f>E101/D101</f>
        <v>44.330633403531507</v>
      </c>
      <c r="G101">
        <f>E101-D101</f>
        <v>1069920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4894-5B0D-5643-8482-41CE8335EF1F}">
  <dimension ref="B2:D11"/>
  <sheetViews>
    <sheetView zoomScale="189" workbookViewId="0">
      <selection activeCell="D8" sqref="D8"/>
    </sheetView>
  </sheetViews>
  <sheetFormatPr baseColWidth="10" defaultColWidth="8.83203125" defaultRowHeight="15" x14ac:dyDescent="0.2"/>
  <cols>
    <col min="1" max="1" width="8.83203125" style="7"/>
    <col min="2" max="2" width="11.83203125" style="7" bestFit="1" customWidth="1"/>
    <col min="3" max="3" width="56.1640625" style="7" customWidth="1"/>
    <col min="4" max="16384" width="8.83203125" style="7"/>
  </cols>
  <sheetData>
    <row r="2" spans="2:4" x14ac:dyDescent="0.2">
      <c r="B2" s="7" t="s">
        <v>73</v>
      </c>
      <c r="D2" s="7">
        <v>452</v>
      </c>
    </row>
    <row r="3" spans="2:4" x14ac:dyDescent="0.2">
      <c r="B3" s="7" t="s">
        <v>75</v>
      </c>
      <c r="D3" s="7">
        <v>523</v>
      </c>
    </row>
    <row r="4" spans="2:4" x14ac:dyDescent="0.2">
      <c r="B4" s="7" t="s">
        <v>78</v>
      </c>
      <c r="D4" s="7">
        <v>1200</v>
      </c>
    </row>
    <row r="5" spans="2:4" x14ac:dyDescent="0.2">
      <c r="B5" s="7" t="s">
        <v>79</v>
      </c>
      <c r="D5" s="7">
        <v>800</v>
      </c>
    </row>
    <row r="6" spans="2:4" x14ac:dyDescent="0.2">
      <c r="B6" s="7" t="s">
        <v>102</v>
      </c>
      <c r="D6" s="7">
        <v>212</v>
      </c>
    </row>
    <row r="7" spans="2:4" x14ac:dyDescent="0.2">
      <c r="B7" s="7" t="s">
        <v>103</v>
      </c>
      <c r="D7" s="7">
        <v>185</v>
      </c>
    </row>
    <row r="8" spans="2:4" x14ac:dyDescent="0.2">
      <c r="B8" s="7" t="s">
        <v>104</v>
      </c>
      <c r="C8" s="7" t="s">
        <v>105</v>
      </c>
      <c r="D8" s="7">
        <f xml:space="preserve"> ((D2-D3)-0)/SQRT(D6^2/D4+ D7^2/D5)</f>
        <v>-7.9264285267592989</v>
      </c>
    </row>
    <row r="9" spans="2:4" x14ac:dyDescent="0.2">
      <c r="B9" s="7" t="s">
        <v>82</v>
      </c>
      <c r="C9" s="7" t="s">
        <v>106</v>
      </c>
    </row>
    <row r="10" spans="2:4" x14ac:dyDescent="0.2">
      <c r="B10" s="7" t="s">
        <v>85</v>
      </c>
      <c r="C10" s="7" t="s">
        <v>107</v>
      </c>
    </row>
    <row r="11" spans="2:4" x14ac:dyDescent="0.2">
      <c r="B11" s="7" t="s">
        <v>88</v>
      </c>
      <c r="C11" s="7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CA97-3E81-604C-A930-C84FFAB06E1E}">
  <dimension ref="B1:R33"/>
  <sheetViews>
    <sheetView workbookViewId="0">
      <selection activeCell="L52" sqref="L52"/>
    </sheetView>
  </sheetViews>
  <sheetFormatPr baseColWidth="10" defaultColWidth="8.83203125" defaultRowHeight="15" x14ac:dyDescent="0.2"/>
  <cols>
    <col min="1" max="1" width="8.83203125" style="7"/>
    <col min="2" max="2" width="23.1640625" style="7" bestFit="1" customWidth="1"/>
    <col min="3" max="3" width="45.33203125" style="7" bestFit="1" customWidth="1"/>
    <col min="4" max="4" width="12.6640625" style="7" bestFit="1" customWidth="1"/>
    <col min="5" max="8" width="8.83203125" style="7"/>
    <col min="9" max="9" width="9.83203125" style="7" bestFit="1" customWidth="1"/>
    <col min="10" max="10" width="8.83203125" style="7"/>
    <col min="11" max="11" width="12" style="7" bestFit="1" customWidth="1"/>
    <col min="12" max="16384" width="8.83203125" style="7"/>
  </cols>
  <sheetData>
    <row r="1" spans="2:18" x14ac:dyDescent="0.2">
      <c r="B1" s="12" t="s">
        <v>109</v>
      </c>
      <c r="C1" s="12"/>
      <c r="D1" s="12"/>
      <c r="I1" s="8"/>
      <c r="J1" s="8" t="s">
        <v>69</v>
      </c>
      <c r="K1" s="8" t="s">
        <v>70</v>
      </c>
    </row>
    <row r="2" spans="2:18" ht="48" x14ac:dyDescent="0.2">
      <c r="B2" s="13" t="s">
        <v>110</v>
      </c>
      <c r="C2" s="14" t="s">
        <v>111</v>
      </c>
      <c r="D2" s="13">
        <v>0.2</v>
      </c>
      <c r="F2" s="8" t="s">
        <v>112</v>
      </c>
      <c r="G2" s="8" t="s">
        <v>113</v>
      </c>
      <c r="I2" s="8" t="s">
        <v>72</v>
      </c>
      <c r="J2" s="8">
        <f xml:space="preserve"> _xlfn.T.INV(0.9,D7)</f>
        <v>1.2960657251220524</v>
      </c>
      <c r="K2" s="8">
        <f xml:space="preserve"> _xlfn.T.INV(0.95,D7)</f>
        <v>1.6710930321038919</v>
      </c>
      <c r="L2" s="7">
        <f>_xlfn.T.INV.2T(0.1,D7)</f>
        <v>1.6710930321038957</v>
      </c>
    </row>
    <row r="3" spans="2:18" x14ac:dyDescent="0.2">
      <c r="B3" s="13" t="s">
        <v>114</v>
      </c>
      <c r="C3" s="13" t="s">
        <v>115</v>
      </c>
      <c r="D3" s="13">
        <v>0</v>
      </c>
      <c r="F3" s="8" t="s">
        <v>116</v>
      </c>
      <c r="G3" s="8" t="s">
        <v>117</v>
      </c>
      <c r="I3" s="8" t="s">
        <v>74</v>
      </c>
      <c r="J3" s="8">
        <f xml:space="preserve"> _xlfn.T.INV(0.95,D7)</f>
        <v>1.6710930321038919</v>
      </c>
      <c r="K3" s="8">
        <f xml:space="preserve"> _xlfn.T.INV(0.975,D7)</f>
        <v>2.0009953780882688</v>
      </c>
    </row>
    <row r="4" spans="2:18" x14ac:dyDescent="0.2">
      <c r="B4" s="13" t="s">
        <v>118</v>
      </c>
      <c r="C4" s="13"/>
      <c r="D4" s="13">
        <v>1</v>
      </c>
      <c r="I4" s="8" t="s">
        <v>76</v>
      </c>
      <c r="J4" s="15">
        <f xml:space="preserve"> _xlfn.T.INV(0.99,D7)</f>
        <v>2.3912288372073567</v>
      </c>
      <c r="K4" s="15">
        <f xml:space="preserve"> _xlfn.T.INV(0.995,D7)</f>
        <v>2.6617587521629682</v>
      </c>
    </row>
    <row r="5" spans="2:18" x14ac:dyDescent="0.2">
      <c r="B5" s="13" t="s">
        <v>68</v>
      </c>
      <c r="C5" s="13"/>
      <c r="D5" s="13">
        <v>60</v>
      </c>
      <c r="J5" s="16" t="s">
        <v>119</v>
      </c>
      <c r="K5" s="17"/>
      <c r="L5" s="17"/>
      <c r="N5" s="7" t="s">
        <v>120</v>
      </c>
      <c r="R5" s="7">
        <v>8.6999999999999993</v>
      </c>
    </row>
    <row r="6" spans="2:18" x14ac:dyDescent="0.2">
      <c r="B6" s="13" t="s">
        <v>86</v>
      </c>
      <c r="C6" s="13" t="s">
        <v>121</v>
      </c>
      <c r="D6" s="13">
        <f>(D2-D3)/(D4/SQRT(D5))</f>
        <v>1.549193338482967</v>
      </c>
      <c r="I6" s="8" t="s">
        <v>122</v>
      </c>
      <c r="J6" s="18" t="s">
        <v>123</v>
      </c>
      <c r="K6" s="8" t="s">
        <v>124</v>
      </c>
      <c r="L6" s="8" t="s">
        <v>125</v>
      </c>
      <c r="N6" s="7" t="s">
        <v>126</v>
      </c>
      <c r="O6" s="7" t="s">
        <v>127</v>
      </c>
      <c r="P6" s="7" t="s">
        <v>128</v>
      </c>
      <c r="R6" s="7">
        <f xml:space="preserve"> 0 + K3*D4/SQRT(D5)</f>
        <v>0.25832739250579595</v>
      </c>
    </row>
    <row r="7" spans="2:18" x14ac:dyDescent="0.2">
      <c r="B7" s="13" t="s">
        <v>36</v>
      </c>
      <c r="C7" s="13" t="s">
        <v>129</v>
      </c>
      <c r="D7" s="13">
        <f>D5-1</f>
        <v>59</v>
      </c>
      <c r="I7" s="8">
        <v>15</v>
      </c>
      <c r="J7" s="18">
        <v>15</v>
      </c>
      <c r="K7" s="8">
        <v>10</v>
      </c>
      <c r="L7" s="8">
        <f>J7-K7</f>
        <v>5</v>
      </c>
      <c r="N7" s="7">
        <v>57</v>
      </c>
      <c r="O7" s="7">
        <v>60</v>
      </c>
      <c r="P7" s="7">
        <f>O7-N7</f>
        <v>3</v>
      </c>
      <c r="R7" s="7">
        <f xml:space="preserve"> 0 - K3*D4/SQRT(D5)</f>
        <v>-0.25832739250579595</v>
      </c>
    </row>
    <row r="8" spans="2:18" x14ac:dyDescent="0.2">
      <c r="B8" s="13" t="s">
        <v>92</v>
      </c>
      <c r="C8" s="19" t="s">
        <v>93</v>
      </c>
      <c r="D8" s="13" t="s">
        <v>130</v>
      </c>
      <c r="I8" s="8">
        <v>-8</v>
      </c>
      <c r="J8" s="18">
        <v>17</v>
      </c>
      <c r="K8" s="8">
        <v>9</v>
      </c>
      <c r="L8" s="8">
        <f t="shared" ref="L8:L15" si="0">J8-K8</f>
        <v>8</v>
      </c>
      <c r="N8" s="7">
        <v>61</v>
      </c>
      <c r="O8" s="7">
        <v>54</v>
      </c>
      <c r="P8" s="7">
        <f t="shared" ref="P8:P21" si="1">O8-N8</f>
        <v>-7</v>
      </c>
      <c r="R8" s="7">
        <f>R6-0.1</f>
        <v>0.15832739250579594</v>
      </c>
    </row>
    <row r="9" spans="2:18" x14ac:dyDescent="0.2">
      <c r="B9" s="13"/>
      <c r="C9" s="13" t="s">
        <v>131</v>
      </c>
      <c r="D9" s="13">
        <f>J3</f>
        <v>1.6710930321038919</v>
      </c>
      <c r="I9" s="8">
        <v>32</v>
      </c>
      <c r="J9" s="18">
        <v>25</v>
      </c>
      <c r="K9" s="8">
        <v>21</v>
      </c>
      <c r="L9" s="8">
        <f t="shared" si="0"/>
        <v>4</v>
      </c>
      <c r="N9" s="7">
        <v>12</v>
      </c>
      <c r="O9" s="7">
        <v>20</v>
      </c>
      <c r="P9" s="7">
        <f t="shared" si="1"/>
        <v>8</v>
      </c>
      <c r="R9" s="7">
        <f>_xlfn.NORM.S.DIST((R6-0.1),TRUE)</f>
        <v>0.56290058786612396</v>
      </c>
    </row>
    <row r="10" spans="2:18" x14ac:dyDescent="0.2">
      <c r="B10" s="13"/>
      <c r="C10" s="13" t="s">
        <v>94</v>
      </c>
      <c r="D10" s="13" t="str">
        <f>IF(AND(D8="left",ABS(D6)&gt;D9),"reject",IF(AND(D8="right",D6&gt;D9),"reject",IF(AND(D8="two",ABS(D6)&gt;D9),"reject","fail to reject")))</f>
        <v>fail to reject</v>
      </c>
      <c r="I10" s="8">
        <v>57</v>
      </c>
      <c r="J10" s="18">
        <v>17</v>
      </c>
      <c r="K10" s="8">
        <v>16</v>
      </c>
      <c r="L10" s="8">
        <f t="shared" si="0"/>
        <v>1</v>
      </c>
      <c r="N10" s="7">
        <v>38</v>
      </c>
      <c r="O10" s="7">
        <v>35</v>
      </c>
      <c r="P10" s="7">
        <f t="shared" si="1"/>
        <v>-3</v>
      </c>
      <c r="R10" s="7">
        <f>_xlfn.NORM.S.DIST((R7-0.1),TRUE)</f>
        <v>0.36004916049925828</v>
      </c>
    </row>
    <row r="11" spans="2:18" x14ac:dyDescent="0.2">
      <c r="B11" s="13" t="s">
        <v>90</v>
      </c>
      <c r="C11" s="13"/>
      <c r="D11" s="13">
        <f>IF(D8="right",_xlfn.T.DIST.RT(D6,D7),IF(D8="left",_xlfn.T.DIST(D6,D7,TRUE),IF(D8="two",2*_xlfn.T.DIST.RT(D6,D7),"")))</f>
        <v>6.3341546245127917E-2</v>
      </c>
      <c r="I11" s="8">
        <v>20</v>
      </c>
      <c r="J11" s="18">
        <v>14</v>
      </c>
      <c r="K11" s="8">
        <v>11</v>
      </c>
      <c r="L11" s="8">
        <f t="shared" si="0"/>
        <v>3</v>
      </c>
      <c r="N11" s="7">
        <v>12</v>
      </c>
      <c r="O11" s="7">
        <v>21</v>
      </c>
      <c r="P11" s="7">
        <f t="shared" si="1"/>
        <v>9</v>
      </c>
      <c r="R11" s="7">
        <f>R9-R10</f>
        <v>0.20285142736686568</v>
      </c>
    </row>
    <row r="12" spans="2:18" x14ac:dyDescent="0.2">
      <c r="B12" s="12"/>
      <c r="C12" s="12"/>
      <c r="D12" s="12"/>
      <c r="I12" s="8">
        <v>10</v>
      </c>
      <c r="J12" s="18">
        <v>18</v>
      </c>
      <c r="K12" s="8">
        <v>12</v>
      </c>
      <c r="L12" s="8">
        <f t="shared" si="0"/>
        <v>6</v>
      </c>
      <c r="N12" s="7">
        <v>69</v>
      </c>
      <c r="O12" s="7">
        <v>70</v>
      </c>
      <c r="P12" s="7">
        <f t="shared" si="1"/>
        <v>1</v>
      </c>
      <c r="R12" s="7">
        <f>1-R11</f>
        <v>0.79714857263313432</v>
      </c>
    </row>
    <row r="13" spans="2:18" x14ac:dyDescent="0.2">
      <c r="B13" s="20" t="s">
        <v>132</v>
      </c>
      <c r="C13" s="21"/>
      <c r="D13" s="22"/>
      <c r="I13" s="8">
        <v>-18</v>
      </c>
      <c r="J13" s="18">
        <v>17</v>
      </c>
      <c r="K13" s="8">
        <v>13</v>
      </c>
      <c r="L13" s="8">
        <f t="shared" si="0"/>
        <v>4</v>
      </c>
      <c r="N13" s="7">
        <v>5</v>
      </c>
      <c r="O13" s="7">
        <v>1</v>
      </c>
      <c r="P13" s="7">
        <f t="shared" si="1"/>
        <v>-4</v>
      </c>
    </row>
    <row r="14" spans="2:18" x14ac:dyDescent="0.2">
      <c r="B14" s="13" t="s">
        <v>133</v>
      </c>
      <c r="C14" s="13" t="s">
        <v>134</v>
      </c>
      <c r="D14" s="13">
        <f>D4/SQRT(D5)</f>
        <v>0.12909944487358055</v>
      </c>
      <c r="I14" s="8">
        <v>-12</v>
      </c>
      <c r="J14" s="18">
        <v>16</v>
      </c>
      <c r="K14" s="8">
        <v>15</v>
      </c>
      <c r="L14" s="8">
        <f t="shared" si="0"/>
        <v>1</v>
      </c>
      <c r="N14" s="7">
        <v>39</v>
      </c>
      <c r="O14" s="7">
        <v>65</v>
      </c>
      <c r="P14" s="7">
        <f t="shared" si="1"/>
        <v>26</v>
      </c>
    </row>
    <row r="15" spans="2:18" x14ac:dyDescent="0.2">
      <c r="B15" s="13" t="s">
        <v>135</v>
      </c>
      <c r="C15" s="13" t="s">
        <v>136</v>
      </c>
      <c r="D15" s="13">
        <f>K3</f>
        <v>2.0009953780882688</v>
      </c>
      <c r="I15" s="8">
        <v>60</v>
      </c>
      <c r="J15" s="18">
        <v>14</v>
      </c>
      <c r="K15" s="8">
        <v>13</v>
      </c>
      <c r="L15" s="8">
        <f t="shared" si="0"/>
        <v>1</v>
      </c>
      <c r="N15" s="7">
        <v>88</v>
      </c>
      <c r="O15" s="7">
        <v>79</v>
      </c>
      <c r="P15" s="7">
        <f t="shared" si="1"/>
        <v>-9</v>
      </c>
    </row>
    <row r="16" spans="2:18" x14ac:dyDescent="0.2">
      <c r="B16" s="13" t="s">
        <v>137</v>
      </c>
      <c r="C16" s="13" t="s">
        <v>138</v>
      </c>
      <c r="D16" s="13">
        <f>D2+D14*D15</f>
        <v>0.45832739250579596</v>
      </c>
      <c r="I16" s="8">
        <v>72</v>
      </c>
      <c r="J16" s="18"/>
      <c r="K16" s="8" t="s">
        <v>139</v>
      </c>
      <c r="L16" s="8">
        <f>AVERAGE(L7:L15)</f>
        <v>3.6666666666666665</v>
      </c>
      <c r="N16" s="7">
        <v>9</v>
      </c>
      <c r="O16" s="7">
        <v>10</v>
      </c>
      <c r="P16" s="7">
        <f t="shared" si="1"/>
        <v>1</v>
      </c>
    </row>
    <row r="17" spans="2:16" x14ac:dyDescent="0.2">
      <c r="B17" s="13" t="s">
        <v>140</v>
      </c>
      <c r="C17" s="13" t="s">
        <v>141</v>
      </c>
      <c r="D17" s="13">
        <f>D2-D15*D14</f>
        <v>-5.8327392505795939E-2</v>
      </c>
      <c r="I17" s="8">
        <v>38</v>
      </c>
      <c r="J17" s="18"/>
      <c r="K17" s="8" t="s">
        <v>142</v>
      </c>
      <c r="L17" s="8">
        <f>COUNT(L7:L15)</f>
        <v>9</v>
      </c>
      <c r="N17" s="7">
        <v>92</v>
      </c>
      <c r="O17" s="7">
        <v>90</v>
      </c>
      <c r="P17" s="7">
        <f t="shared" si="1"/>
        <v>-2</v>
      </c>
    </row>
    <row r="18" spans="2:16" x14ac:dyDescent="0.2">
      <c r="B18" s="12"/>
      <c r="C18" s="12"/>
      <c r="D18" s="12"/>
      <c r="I18" s="8">
        <v>-5</v>
      </c>
      <c r="J18" s="18"/>
      <c r="K18" s="8" t="s">
        <v>143</v>
      </c>
      <c r="L18" s="8">
        <f>_xlfn.STDEV.S(L7:L15)</f>
        <v>2.4494897427831779</v>
      </c>
      <c r="N18" s="7">
        <v>26</v>
      </c>
      <c r="O18" s="7">
        <v>32</v>
      </c>
      <c r="P18" s="7">
        <f t="shared" si="1"/>
        <v>6</v>
      </c>
    </row>
    <row r="19" spans="2:16" x14ac:dyDescent="0.2">
      <c r="B19" s="12"/>
      <c r="C19" s="12"/>
      <c r="D19" s="12"/>
      <c r="I19" s="8">
        <v>16</v>
      </c>
      <c r="N19" s="7">
        <v>14</v>
      </c>
      <c r="O19" s="7">
        <v>19</v>
      </c>
      <c r="P19" s="7">
        <f t="shared" si="1"/>
        <v>5</v>
      </c>
    </row>
    <row r="20" spans="2:16" x14ac:dyDescent="0.2">
      <c r="B20" s="12"/>
      <c r="C20" s="12"/>
      <c r="D20" s="12"/>
      <c r="I20" s="8">
        <v>22</v>
      </c>
      <c r="N20" s="7">
        <v>70</v>
      </c>
      <c r="O20" s="7">
        <v>77</v>
      </c>
      <c r="P20" s="7">
        <f t="shared" si="1"/>
        <v>7</v>
      </c>
    </row>
    <row r="21" spans="2:16" x14ac:dyDescent="0.2">
      <c r="I21" s="8">
        <v>34</v>
      </c>
      <c r="N21" s="7">
        <v>22</v>
      </c>
      <c r="O21" s="7">
        <v>29</v>
      </c>
      <c r="P21" s="7">
        <f t="shared" si="1"/>
        <v>7</v>
      </c>
    </row>
    <row r="22" spans="2:16" x14ac:dyDescent="0.2">
      <c r="I22" s="8">
        <v>41</v>
      </c>
      <c r="O22" s="7" t="s">
        <v>144</v>
      </c>
      <c r="P22" s="7">
        <f>AVERAGE(P7:P21)</f>
        <v>3.2</v>
      </c>
    </row>
    <row r="23" spans="2:16" x14ac:dyDescent="0.2">
      <c r="I23" s="8">
        <v>12</v>
      </c>
      <c r="O23" s="7" t="s">
        <v>145</v>
      </c>
      <c r="P23" s="7">
        <f>COUNT(P7:P21)</f>
        <v>15</v>
      </c>
    </row>
    <row r="24" spans="2:16" x14ac:dyDescent="0.2">
      <c r="I24" s="8">
        <v>-38</v>
      </c>
      <c r="O24" s="7" t="s">
        <v>146</v>
      </c>
      <c r="P24" s="7">
        <f>_xlfn.STDEV.S(P7:P21)</f>
        <v>8.4363160545008373</v>
      </c>
    </row>
    <row r="25" spans="2:16" x14ac:dyDescent="0.2">
      <c r="I25" s="8">
        <v>16</v>
      </c>
    </row>
    <row r="26" spans="2:16" x14ac:dyDescent="0.2">
      <c r="I26" s="8">
        <v>-40</v>
      </c>
    </row>
    <row r="27" spans="2:16" x14ac:dyDescent="0.2">
      <c r="I27" s="8">
        <v>75</v>
      </c>
    </row>
    <row r="28" spans="2:16" x14ac:dyDescent="0.2">
      <c r="I28" s="8">
        <v>11</v>
      </c>
    </row>
    <row r="29" spans="2:16" x14ac:dyDescent="0.2">
      <c r="I29" s="8">
        <v>2</v>
      </c>
    </row>
    <row r="30" spans="2:16" x14ac:dyDescent="0.2">
      <c r="I30" s="8">
        <v>55</v>
      </c>
    </row>
    <row r="31" spans="2:16" x14ac:dyDescent="0.2">
      <c r="I31" s="8">
        <v>10</v>
      </c>
    </row>
    <row r="32" spans="2:16" x14ac:dyDescent="0.2">
      <c r="H32" s="7" t="s">
        <v>147</v>
      </c>
      <c r="I32" s="8">
        <f>AVERAGE(I7:I31)</f>
        <v>19.079999999999998</v>
      </c>
    </row>
    <row r="33" spans="8:9" x14ac:dyDescent="0.2">
      <c r="H33" s="7" t="s">
        <v>143</v>
      </c>
      <c r="I33" s="8">
        <f>_xlfn.STDEV.S(I7:I31)</f>
        <v>30.671539467938896</v>
      </c>
    </row>
  </sheetData>
  <mergeCells count="2">
    <mergeCell ref="J5:L5"/>
    <mergeCell ref="B13:D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42F6-3B50-C248-8F05-453B8E3D5CE3}">
  <dimension ref="B1:H32"/>
  <sheetViews>
    <sheetView zoomScale="200" workbookViewId="0">
      <selection activeCell="D12" sqref="D12"/>
    </sheetView>
  </sheetViews>
  <sheetFormatPr baseColWidth="10" defaultColWidth="8.83203125" defaultRowHeight="15" x14ac:dyDescent="0.2"/>
  <cols>
    <col min="1" max="1" width="8.83203125" style="12"/>
    <col min="2" max="2" width="27.33203125" style="23" bestFit="1" customWidth="1"/>
    <col min="3" max="3" width="5.6640625" style="12" customWidth="1"/>
    <col min="4" max="4" width="12" style="12" bestFit="1" customWidth="1"/>
    <col min="5" max="5" width="8.83203125" style="12"/>
    <col min="6" max="6" width="9.83203125" style="12" bestFit="1" customWidth="1"/>
    <col min="7" max="7" width="10.33203125" style="12" customWidth="1"/>
    <col min="8" max="8" width="9.33203125" style="12" bestFit="1" customWidth="1"/>
    <col min="9" max="16384" width="8.83203125" style="12"/>
  </cols>
  <sheetData>
    <row r="1" spans="2:8" x14ac:dyDescent="0.2">
      <c r="F1" s="13"/>
      <c r="G1" s="13" t="s">
        <v>69</v>
      </c>
      <c r="H1" s="13" t="s">
        <v>70</v>
      </c>
    </row>
    <row r="2" spans="2:8" x14ac:dyDescent="0.2">
      <c r="B2" s="24" t="s">
        <v>148</v>
      </c>
      <c r="C2" s="24"/>
      <c r="D2" s="24"/>
      <c r="F2" s="13" t="s">
        <v>149</v>
      </c>
      <c r="G2" s="13">
        <f xml:space="preserve"> _xlfn.NORM.S.INV(0.9)</f>
        <v>1.2815515655446006</v>
      </c>
      <c r="H2" s="13">
        <f xml:space="preserve"> _xlfn.NORM.S.INV(0.95)</f>
        <v>1.6448536269514715</v>
      </c>
    </row>
    <row r="3" spans="2:8" x14ac:dyDescent="0.2">
      <c r="B3" s="25" t="s">
        <v>150</v>
      </c>
      <c r="C3" s="13" t="s">
        <v>151</v>
      </c>
      <c r="D3" s="13">
        <f>24/60</f>
        <v>0.4</v>
      </c>
      <c r="F3" s="13" t="s">
        <v>152</v>
      </c>
      <c r="G3" s="13">
        <f xml:space="preserve"> _xlfn.NORM.S.INV(0.95)</f>
        <v>1.6448536269514715</v>
      </c>
      <c r="H3" s="13">
        <f xml:space="preserve"> _xlfn.NORM.S.INV(0.975)</f>
        <v>1.9599639845400536</v>
      </c>
    </row>
    <row r="4" spans="2:8" x14ac:dyDescent="0.2">
      <c r="B4" s="25" t="s">
        <v>153</v>
      </c>
      <c r="C4" s="13" t="s">
        <v>154</v>
      </c>
      <c r="D4" s="13">
        <f>36/60</f>
        <v>0.6</v>
      </c>
      <c r="F4" s="13" t="s">
        <v>155</v>
      </c>
      <c r="G4" s="13">
        <f xml:space="preserve"> _xlfn.NORM.S.INV(0.99)</f>
        <v>2.3263478740408408</v>
      </c>
      <c r="H4" s="13">
        <f xml:space="preserve"> _xlfn.NORM.S.INV(0.995)</f>
        <v>2.5758293035488999</v>
      </c>
    </row>
    <row r="5" spans="2:8" x14ac:dyDescent="0.2">
      <c r="B5" s="25" t="s">
        <v>156</v>
      </c>
      <c r="C5" s="13" t="s">
        <v>157</v>
      </c>
      <c r="D5" s="13">
        <f xml:space="preserve"> (D3*D6 + D4*D7)/(D7+D6)</f>
        <v>0.5</v>
      </c>
      <c r="G5" s="13">
        <f xml:space="preserve"> _xlfn.NORM.S.INV(0.8)</f>
        <v>0.84162123357291474</v>
      </c>
    </row>
    <row r="6" spans="2:8" x14ac:dyDescent="0.2">
      <c r="B6" s="25" t="s">
        <v>78</v>
      </c>
      <c r="C6" s="13"/>
      <c r="D6" s="13">
        <v>60</v>
      </c>
    </row>
    <row r="7" spans="2:8" x14ac:dyDescent="0.2">
      <c r="B7" s="25" t="s">
        <v>79</v>
      </c>
      <c r="C7" s="13"/>
      <c r="D7" s="13">
        <v>60</v>
      </c>
    </row>
    <row r="8" spans="2:8" x14ac:dyDescent="0.2">
      <c r="B8" s="25"/>
      <c r="C8" s="13" t="s">
        <v>158</v>
      </c>
      <c r="D8" s="13">
        <f>D5*(1-D5)</f>
        <v>0.25</v>
      </c>
    </row>
    <row r="9" spans="2:8" x14ac:dyDescent="0.2">
      <c r="B9" s="25"/>
      <c r="C9" s="13" t="s">
        <v>159</v>
      </c>
      <c r="D9" s="13">
        <f xml:space="preserve"> 1/D6+1/D7</f>
        <v>3.3333333333333333E-2</v>
      </c>
    </row>
    <row r="10" spans="2:8" x14ac:dyDescent="0.2">
      <c r="B10" s="25" t="s">
        <v>160</v>
      </c>
      <c r="C10" s="13" t="s">
        <v>161</v>
      </c>
      <c r="D10" s="13">
        <f xml:space="preserve"> (D3-D4-0)/SQRT(D8*D9)</f>
        <v>-2.1908902300206643</v>
      </c>
    </row>
    <row r="11" spans="2:8" x14ac:dyDescent="0.2">
      <c r="B11" s="25" t="s">
        <v>162</v>
      </c>
      <c r="C11" s="13" t="s">
        <v>163</v>
      </c>
      <c r="D11" s="13">
        <f>H2</f>
        <v>1.6448536269514715</v>
      </c>
    </row>
    <row r="12" spans="2:8" x14ac:dyDescent="0.2">
      <c r="B12" s="25" t="s">
        <v>92</v>
      </c>
      <c r="C12" s="19" t="s">
        <v>93</v>
      </c>
      <c r="D12" s="13" t="s">
        <v>130</v>
      </c>
    </row>
    <row r="13" spans="2:8" x14ac:dyDescent="0.2">
      <c r="B13" s="25"/>
      <c r="C13" s="13" t="s">
        <v>164</v>
      </c>
      <c r="D13" s="13" t="str">
        <f>IF(AND(D12="left",ABS(D10)&gt;D11),"reject",IF(AND(D12="right",D10&gt;D11),"reject",IF(AND(D12="two",ABS(D10)&gt;D11),"reject","fail to reject")))</f>
        <v>fail to reject</v>
      </c>
    </row>
    <row r="14" spans="2:8" x14ac:dyDescent="0.2">
      <c r="B14" s="25" t="s">
        <v>85</v>
      </c>
      <c r="C14" s="13" t="s">
        <v>165</v>
      </c>
      <c r="D14" s="13">
        <f xml:space="preserve"> (D3-D4) + H4 * SQRT(D3*(1-D3)/D6 + D4*(1-D4)/D7)</f>
        <v>3.0389176846851274E-2</v>
      </c>
    </row>
    <row r="15" spans="2:8" x14ac:dyDescent="0.2">
      <c r="B15" s="25" t="s">
        <v>166</v>
      </c>
      <c r="C15" s="13" t="s">
        <v>167</v>
      </c>
      <c r="D15" s="13">
        <f xml:space="preserve"> (D3-D4) - H4 * SQRT(D3*(1-D3)/D6 + D4*(1-D4)/D7)</f>
        <v>-0.43038917684685118</v>
      </c>
    </row>
    <row r="16" spans="2:8" x14ac:dyDescent="0.2">
      <c r="B16" s="25" t="s">
        <v>90</v>
      </c>
      <c r="C16" s="13"/>
      <c r="D16" s="13">
        <f xml:space="preserve"> 1 - _xlfn.NORM.S.DIST(D10,TRUE)</f>
        <v>0.98577013154184467</v>
      </c>
    </row>
    <row r="18" spans="2:4" x14ac:dyDescent="0.2">
      <c r="B18" s="24" t="s">
        <v>168</v>
      </c>
      <c r="C18" s="24"/>
      <c r="D18" s="24"/>
    </row>
    <row r="19" spans="2:4" x14ac:dyDescent="0.2">
      <c r="B19" s="25" t="s">
        <v>150</v>
      </c>
      <c r="C19" s="13" t="s">
        <v>151</v>
      </c>
      <c r="D19" s="13">
        <v>0.19</v>
      </c>
    </row>
    <row r="20" spans="2:4" x14ac:dyDescent="0.2">
      <c r="B20" s="25" t="s">
        <v>153</v>
      </c>
      <c r="C20" s="13" t="s">
        <v>154</v>
      </c>
      <c r="D20" s="13">
        <v>0.13</v>
      </c>
    </row>
    <row r="21" spans="2:4" x14ac:dyDescent="0.2">
      <c r="B21" s="25" t="s">
        <v>78</v>
      </c>
      <c r="C21" s="13"/>
      <c r="D21" s="13">
        <v>5000</v>
      </c>
    </row>
    <row r="22" spans="2:4" x14ac:dyDescent="0.2">
      <c r="B22" s="25" t="s">
        <v>79</v>
      </c>
      <c r="C22" s="13"/>
      <c r="D22" s="13">
        <v>2060</v>
      </c>
    </row>
    <row r="23" spans="2:4" x14ac:dyDescent="0.2">
      <c r="B23" s="25" t="s">
        <v>169</v>
      </c>
      <c r="C23" s="13"/>
      <c r="D23" s="13">
        <v>0.05</v>
      </c>
    </row>
    <row r="24" spans="2:4" x14ac:dyDescent="0.2">
      <c r="B24" s="25"/>
      <c r="C24" s="13" t="s">
        <v>170</v>
      </c>
      <c r="D24" s="13">
        <f xml:space="preserve"> D19*(1-D19)/D21</f>
        <v>3.078E-5</v>
      </c>
    </row>
    <row r="25" spans="2:4" x14ac:dyDescent="0.2">
      <c r="B25" s="25"/>
      <c r="C25" s="13" t="s">
        <v>171</v>
      </c>
      <c r="D25" s="13">
        <f xml:space="preserve"> D20*(1-D20)/D22</f>
        <v>5.4902912621359225E-5</v>
      </c>
    </row>
    <row r="26" spans="2:4" x14ac:dyDescent="0.2">
      <c r="B26" s="25" t="s">
        <v>160</v>
      </c>
      <c r="C26" s="13" t="s">
        <v>172</v>
      </c>
      <c r="D26" s="13">
        <f>(D19-D20-D23)/SQRT(D24+D25)</f>
        <v>1.0803211770932752</v>
      </c>
    </row>
    <row r="27" spans="2:4" x14ac:dyDescent="0.2">
      <c r="B27" s="25" t="s">
        <v>92</v>
      </c>
      <c r="C27" s="19" t="s">
        <v>93</v>
      </c>
      <c r="D27" s="13" t="s">
        <v>130</v>
      </c>
    </row>
    <row r="28" spans="2:4" x14ac:dyDescent="0.2">
      <c r="B28" s="25" t="s">
        <v>162</v>
      </c>
      <c r="C28" s="13" t="s">
        <v>163</v>
      </c>
      <c r="D28" s="13">
        <f>G3</f>
        <v>1.6448536269514715</v>
      </c>
    </row>
    <row r="29" spans="2:4" x14ac:dyDescent="0.2">
      <c r="B29" s="25"/>
      <c r="C29" s="13" t="s">
        <v>164</v>
      </c>
      <c r="D29" s="13" t="str">
        <f>IF(AND(D27="left",ABS(D26)&gt;D28),"reject",IF(AND(D27="right",D26&gt;D28),"reject",IF(AND(D27="two",ABS(D26)&gt;D28),"reject","fail to reject")))</f>
        <v>fail to reject</v>
      </c>
    </row>
    <row r="30" spans="2:4" x14ac:dyDescent="0.2">
      <c r="B30" s="25" t="s">
        <v>85</v>
      </c>
      <c r="C30" s="13" t="s">
        <v>165</v>
      </c>
      <c r="D30" s="13">
        <f xml:space="preserve"> (D19-D20) + H3 * SQRT(D19*(1-D19)/D21 + D20*(1-D20)/D22)</f>
        <v>7.8142419366558691E-2</v>
      </c>
    </row>
    <row r="31" spans="2:4" x14ac:dyDescent="0.2">
      <c r="B31" s="25" t="s">
        <v>166</v>
      </c>
      <c r="C31" s="13" t="s">
        <v>167</v>
      </c>
      <c r="D31" s="13">
        <f xml:space="preserve"> (D19-D20) - H3 * SQRT(D19*(1-D19)/D21 + D20*(1-D20)/D22)</f>
        <v>4.1857580633441298E-2</v>
      </c>
    </row>
    <row r="32" spans="2:4" x14ac:dyDescent="0.2">
      <c r="B32" s="25" t="s">
        <v>90</v>
      </c>
      <c r="C32" s="13"/>
      <c r="D32" s="13">
        <f xml:space="preserve"> 1 - _xlfn.NORM.S.DIST(D26,TRUE)</f>
        <v>0.1399995912876183</v>
      </c>
    </row>
  </sheetData>
  <mergeCells count="2">
    <mergeCell ref="B2:D2"/>
    <mergeCell ref="B18:D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664A-511F-7B48-BF81-43EF6563E8E1}">
  <dimension ref="A1:L37"/>
  <sheetViews>
    <sheetView topLeftCell="A9" zoomScale="159" workbookViewId="0">
      <selection activeCell="F25" sqref="F25"/>
    </sheetView>
  </sheetViews>
  <sheetFormatPr baseColWidth="10" defaultRowHeight="16" x14ac:dyDescent="0.2"/>
  <cols>
    <col min="1" max="2" width="3.1640625" bestFit="1" customWidth="1"/>
    <col min="4" max="4" width="17.83203125" bestFit="1" customWidth="1"/>
    <col min="5" max="5" width="13.1640625" bestFit="1" customWidth="1"/>
    <col min="6" max="6" width="13.83203125" bestFit="1" customWidth="1"/>
    <col min="7" max="7" width="17.5" bestFit="1" customWidth="1"/>
    <col min="8" max="8" width="12.5" bestFit="1" customWidth="1"/>
    <col min="9" max="12" width="13.1640625" bestFit="1" customWidth="1"/>
  </cols>
  <sheetData>
    <row r="1" spans="1:12" x14ac:dyDescent="0.2">
      <c r="A1" s="1" t="s">
        <v>0</v>
      </c>
      <c r="B1" s="1" t="s">
        <v>1</v>
      </c>
      <c r="D1" t="s">
        <v>24</v>
      </c>
    </row>
    <row r="2" spans="1:12" ht="17" thickBot="1" x14ac:dyDescent="0.25">
      <c r="A2">
        <v>27</v>
      </c>
      <c r="B2">
        <v>2</v>
      </c>
    </row>
    <row r="3" spans="1:12" x14ac:dyDescent="0.2">
      <c r="A3">
        <v>39</v>
      </c>
      <c r="B3">
        <v>3</v>
      </c>
      <c r="D3" s="6" t="s">
        <v>25</v>
      </c>
      <c r="E3" s="6"/>
    </row>
    <row r="4" spans="1:12" x14ac:dyDescent="0.2">
      <c r="A4">
        <v>73</v>
      </c>
      <c r="B4">
        <v>10</v>
      </c>
      <c r="D4" s="3" t="s">
        <v>26</v>
      </c>
      <c r="E4" s="3">
        <v>0.9600636512386076</v>
      </c>
    </row>
    <row r="5" spans="1:12" x14ac:dyDescent="0.2">
      <c r="A5">
        <v>66</v>
      </c>
      <c r="B5">
        <v>9</v>
      </c>
      <c r="D5" s="3" t="s">
        <v>27</v>
      </c>
      <c r="E5" s="3">
        <v>0.92172221442960667</v>
      </c>
    </row>
    <row r="6" spans="1:12" x14ac:dyDescent="0.2">
      <c r="A6">
        <v>33</v>
      </c>
      <c r="B6">
        <v>4</v>
      </c>
      <c r="D6" s="3" t="s">
        <v>28</v>
      </c>
      <c r="E6" s="3">
        <v>0.91460605210502555</v>
      </c>
    </row>
    <row r="7" spans="1:12" x14ac:dyDescent="0.2">
      <c r="A7">
        <v>43</v>
      </c>
      <c r="B7">
        <v>6</v>
      </c>
      <c r="D7" s="3" t="s">
        <v>29</v>
      </c>
      <c r="E7" s="3">
        <v>0.9953837222008709</v>
      </c>
    </row>
    <row r="8" spans="1:12" ht="17" thickBot="1" x14ac:dyDescent="0.25">
      <c r="A8">
        <v>47</v>
      </c>
      <c r="B8">
        <v>5</v>
      </c>
      <c r="D8" s="4" t="s">
        <v>30</v>
      </c>
      <c r="E8" s="4">
        <v>13</v>
      </c>
    </row>
    <row r="9" spans="1:12" x14ac:dyDescent="0.2">
      <c r="A9">
        <v>55</v>
      </c>
      <c r="B9">
        <v>8</v>
      </c>
    </row>
    <row r="10" spans="1:12" ht="17" thickBot="1" x14ac:dyDescent="0.25">
      <c r="A10">
        <v>60</v>
      </c>
      <c r="B10">
        <v>7</v>
      </c>
      <c r="D10" t="s">
        <v>31</v>
      </c>
    </row>
    <row r="11" spans="1:12" x14ac:dyDescent="0.2">
      <c r="A11">
        <v>68</v>
      </c>
      <c r="B11">
        <v>9</v>
      </c>
      <c r="D11" s="5"/>
      <c r="E11" s="5" t="s">
        <v>36</v>
      </c>
      <c r="F11" s="5" t="s">
        <v>37</v>
      </c>
      <c r="G11" s="5" t="s">
        <v>38</v>
      </c>
      <c r="H11" s="5" t="s">
        <v>39</v>
      </c>
      <c r="I11" s="5" t="s">
        <v>40</v>
      </c>
    </row>
    <row r="12" spans="1:12" x14ac:dyDescent="0.2">
      <c r="A12">
        <v>70</v>
      </c>
      <c r="B12">
        <v>10</v>
      </c>
      <c r="D12" s="3" t="s">
        <v>32</v>
      </c>
      <c r="E12" s="3">
        <v>1</v>
      </c>
      <c r="F12" s="3">
        <v>128.33209293212215</v>
      </c>
      <c r="G12" s="3">
        <v>128.33209293212215</v>
      </c>
      <c r="H12" s="3">
        <v>129.52518118448776</v>
      </c>
      <c r="I12" s="3">
        <v>2.0012421322629854E-7</v>
      </c>
    </row>
    <row r="13" spans="1:12" x14ac:dyDescent="0.2">
      <c r="A13">
        <v>75</v>
      </c>
      <c r="B13">
        <v>13</v>
      </c>
      <c r="D13" s="3" t="s">
        <v>33</v>
      </c>
      <c r="E13" s="3">
        <v>11</v>
      </c>
      <c r="F13" s="3">
        <v>10.898676298647066</v>
      </c>
      <c r="G13" s="3">
        <v>0.99078875442246062</v>
      </c>
      <c r="H13" s="3"/>
      <c r="I13" s="3"/>
    </row>
    <row r="14" spans="1:12" ht="17" thickBot="1" x14ac:dyDescent="0.25">
      <c r="A14">
        <v>82</v>
      </c>
      <c r="B14">
        <v>12</v>
      </c>
      <c r="D14" s="4" t="s">
        <v>34</v>
      </c>
      <c r="E14" s="4">
        <v>12</v>
      </c>
      <c r="F14" s="4">
        <v>139.23076923076923</v>
      </c>
      <c r="G14" s="4"/>
      <c r="H14" s="4"/>
      <c r="I14" s="4"/>
    </row>
    <row r="15" spans="1:12" ht="17" thickBot="1" x14ac:dyDescent="0.25"/>
    <row r="16" spans="1:12" x14ac:dyDescent="0.2">
      <c r="D16" s="5"/>
      <c r="E16" s="5" t="s">
        <v>41</v>
      </c>
      <c r="F16" s="5" t="s">
        <v>29</v>
      </c>
      <c r="G16" s="5" t="s">
        <v>42</v>
      </c>
      <c r="H16" s="5" t="s">
        <v>43</v>
      </c>
      <c r="I16" s="5" t="s">
        <v>44</v>
      </c>
      <c r="J16" s="5" t="s">
        <v>45</v>
      </c>
      <c r="K16" s="5" t="s">
        <v>46</v>
      </c>
      <c r="L16" s="5" t="s">
        <v>47</v>
      </c>
    </row>
    <row r="17" spans="4:12" x14ac:dyDescent="0.2">
      <c r="D17" s="3" t="s">
        <v>35</v>
      </c>
      <c r="E17" s="3">
        <v>-3.0565809253382312</v>
      </c>
      <c r="F17" s="3">
        <v>0.97101976983274685</v>
      </c>
      <c r="G17" s="3">
        <v>-3.1478050399166553</v>
      </c>
      <c r="H17" s="3">
        <v>9.2784107641442001E-3</v>
      </c>
      <c r="I17" s="3">
        <v>-5.1937810288957049</v>
      </c>
      <c r="J17" s="3">
        <v>-0.91938082178075708</v>
      </c>
      <c r="K17" s="3">
        <v>-6.0723804532022294</v>
      </c>
      <c r="L17" s="3">
        <v>-4.0781397474233039E-2</v>
      </c>
    </row>
    <row r="18" spans="4:12" ht="17" thickBot="1" x14ac:dyDescent="0.25">
      <c r="D18" s="4" t="s">
        <v>0</v>
      </c>
      <c r="E18" s="4">
        <v>0.18663353933522631</v>
      </c>
      <c r="F18" s="4">
        <v>1.6398819584681087E-2</v>
      </c>
      <c r="G18" s="4">
        <v>11.380913020688972</v>
      </c>
      <c r="H18" s="4">
        <v>2.0012421322629854E-7</v>
      </c>
      <c r="I18" s="4">
        <v>0.15053998078632311</v>
      </c>
      <c r="J18" s="4">
        <v>0.2227270978841295</v>
      </c>
      <c r="K18" s="4">
        <v>0.13570197862197061</v>
      </c>
      <c r="L18" s="4">
        <v>0.237565100048482</v>
      </c>
    </row>
    <row r="19" spans="4:12" x14ac:dyDescent="0.2">
      <c r="E19" s="3">
        <v>12.7362</v>
      </c>
    </row>
    <row r="20" spans="4:12" x14ac:dyDescent="0.2">
      <c r="F20">
        <f>E19-_xlfn.T.INV.2T(0.05,30)</f>
        <v>10.693927543698763</v>
      </c>
      <c r="G20">
        <f>E19+_xlfn.T.INV.2T(0.05,30)</f>
        <v>14.778472456301238</v>
      </c>
    </row>
    <row r="21" spans="4:12" x14ac:dyDescent="0.2">
      <c r="F21">
        <f>E19-_xlfn.T.INV.2T(0.001,30)</f>
        <v>9.0902413649579792</v>
      </c>
      <c r="G21">
        <f>E19+_xlfn.T.INV.2T(0.001,30)</f>
        <v>16.382158635042021</v>
      </c>
    </row>
    <row r="22" spans="4:12" x14ac:dyDescent="0.2">
      <c r="D22" t="s">
        <v>48</v>
      </c>
    </row>
    <row r="23" spans="4:12" ht="17" thickBot="1" x14ac:dyDescent="0.25"/>
    <row r="24" spans="4:12" x14ac:dyDescent="0.2">
      <c r="D24" s="5" t="s">
        <v>49</v>
      </c>
      <c r="E24" s="5" t="s">
        <v>50</v>
      </c>
      <c r="F24" s="5" t="s">
        <v>51</v>
      </c>
      <c r="G24" s="5" t="s">
        <v>52</v>
      </c>
    </row>
    <row r="25" spans="4:12" x14ac:dyDescent="0.2">
      <c r="D25" s="3">
        <v>1</v>
      </c>
      <c r="E25" s="3">
        <v>1.9825246367128795</v>
      </c>
      <c r="F25" s="3">
        <v>1.7475363287120516E-2</v>
      </c>
      <c r="G25" s="3">
        <v>1.8337070680259533E-2</v>
      </c>
      <c r="H25">
        <v>2</v>
      </c>
      <c r="I25">
        <f>H25-E25</f>
        <v>1.7475363287120516E-2</v>
      </c>
    </row>
    <row r="26" spans="4:12" x14ac:dyDescent="0.2">
      <c r="D26" s="3">
        <v>2</v>
      </c>
      <c r="E26" s="3">
        <v>4.2221271087355952</v>
      </c>
      <c r="F26" s="3">
        <v>-1.2221271087355952</v>
      </c>
      <c r="G26" s="3">
        <v>-1.2823900027109798</v>
      </c>
      <c r="H26">
        <v>3</v>
      </c>
      <c r="I26">
        <f t="shared" ref="I26:I37" si="0">H26-E26</f>
        <v>-1.2221271087355952</v>
      </c>
    </row>
    <row r="27" spans="4:12" x14ac:dyDescent="0.2">
      <c r="D27" s="3">
        <v>3</v>
      </c>
      <c r="E27" s="3">
        <v>10.567667446133289</v>
      </c>
      <c r="F27" s="3">
        <v>-0.56766744613328868</v>
      </c>
      <c r="G27" s="3">
        <v>-0.59565903790396824</v>
      </c>
      <c r="H27">
        <v>10</v>
      </c>
      <c r="I27">
        <f t="shared" si="0"/>
        <v>-0.56766744613328868</v>
      </c>
    </row>
    <row r="28" spans="4:12" x14ac:dyDescent="0.2">
      <c r="D28" s="3">
        <v>4</v>
      </c>
      <c r="E28" s="3">
        <v>9.2612326707867041</v>
      </c>
      <c r="F28" s="3">
        <v>-0.26123267078670409</v>
      </c>
      <c r="G28" s="3">
        <v>-0.2741140123672971</v>
      </c>
      <c r="H28">
        <v>9</v>
      </c>
      <c r="I28">
        <f t="shared" si="0"/>
        <v>-0.26123267078670409</v>
      </c>
    </row>
    <row r="29" spans="4:12" x14ac:dyDescent="0.2">
      <c r="D29" s="3">
        <v>5</v>
      </c>
      <c r="E29" s="3">
        <v>3.1023258727242364</v>
      </c>
      <c r="F29" s="3">
        <v>0.89767412727576357</v>
      </c>
      <c r="G29" s="3">
        <v>0.94193829617422875</v>
      </c>
      <c r="H29">
        <v>4</v>
      </c>
      <c r="I29">
        <f t="shared" si="0"/>
        <v>0.89767412727576357</v>
      </c>
    </row>
    <row r="30" spans="4:12" x14ac:dyDescent="0.2">
      <c r="D30" s="3">
        <v>6</v>
      </c>
      <c r="E30" s="3">
        <v>4.9686612660765004</v>
      </c>
      <c r="F30" s="3">
        <v>1.0313387339234996</v>
      </c>
      <c r="G30" s="3">
        <v>1.0821938833845413</v>
      </c>
      <c r="H30">
        <v>6</v>
      </c>
      <c r="I30">
        <f t="shared" si="0"/>
        <v>1.0313387339234996</v>
      </c>
    </row>
    <row r="31" spans="4:12" x14ac:dyDescent="0.2">
      <c r="D31" s="3">
        <v>7</v>
      </c>
      <c r="E31" s="3">
        <v>5.7151954234174056</v>
      </c>
      <c r="F31" s="3">
        <v>-0.71519542341740561</v>
      </c>
      <c r="G31" s="3">
        <v>-0.75046159635883902</v>
      </c>
      <c r="H31">
        <v>5</v>
      </c>
      <c r="I31">
        <f t="shared" si="0"/>
        <v>-0.71519542341740561</v>
      </c>
    </row>
    <row r="32" spans="4:12" x14ac:dyDescent="0.2">
      <c r="D32" s="3">
        <v>8</v>
      </c>
      <c r="E32" s="3">
        <v>7.2082637380992161</v>
      </c>
      <c r="F32" s="3">
        <v>0.79173626190078394</v>
      </c>
      <c r="G32" s="3">
        <v>0.83077665145302715</v>
      </c>
      <c r="H32">
        <v>8</v>
      </c>
      <c r="I32">
        <f t="shared" si="0"/>
        <v>0.79173626190078394</v>
      </c>
    </row>
    <row r="33" spans="4:9" x14ac:dyDescent="0.2">
      <c r="D33" s="3">
        <v>9</v>
      </c>
      <c r="E33" s="3">
        <v>8.1414314347753471</v>
      </c>
      <c r="F33" s="3">
        <v>-1.1414314347753471</v>
      </c>
      <c r="G33" s="3">
        <v>-1.1977152378612663</v>
      </c>
      <c r="H33">
        <v>7</v>
      </c>
      <c r="I33">
        <f t="shared" si="0"/>
        <v>-1.1414314347753471</v>
      </c>
    </row>
    <row r="34" spans="4:9" x14ac:dyDescent="0.2">
      <c r="D34" s="3">
        <v>10</v>
      </c>
      <c r="E34" s="3">
        <v>9.6344997494571576</v>
      </c>
      <c r="F34" s="3">
        <v>-0.63449974945715759</v>
      </c>
      <c r="G34" s="3">
        <v>-0.66578683150912543</v>
      </c>
      <c r="H34">
        <v>9</v>
      </c>
      <c r="I34">
        <f t="shared" si="0"/>
        <v>-0.63449974945715759</v>
      </c>
    </row>
    <row r="35" spans="4:9" x14ac:dyDescent="0.2">
      <c r="D35" s="3">
        <v>11</v>
      </c>
      <c r="E35" s="3">
        <v>10.007766828127611</v>
      </c>
      <c r="F35" s="3">
        <v>-7.7668281276110918E-3</v>
      </c>
      <c r="G35" s="3">
        <v>-8.1498091912285305E-3</v>
      </c>
      <c r="H35">
        <v>10</v>
      </c>
      <c r="I35">
        <f t="shared" si="0"/>
        <v>-7.7668281276110918E-3</v>
      </c>
    </row>
    <row r="36" spans="4:9" x14ac:dyDescent="0.2">
      <c r="D36" s="3">
        <v>12</v>
      </c>
      <c r="E36" s="3">
        <v>10.940934524803742</v>
      </c>
      <c r="F36" s="3">
        <v>2.0590654751962578</v>
      </c>
      <c r="G36" s="3">
        <v>2.1605976673333793</v>
      </c>
      <c r="H36">
        <v>13</v>
      </c>
      <c r="I36">
        <f t="shared" si="0"/>
        <v>2.0590654751962578</v>
      </c>
    </row>
    <row r="37" spans="4:9" ht="17" thickBot="1" x14ac:dyDescent="0.25">
      <c r="D37" s="4">
        <v>13</v>
      </c>
      <c r="E37" s="4">
        <v>12.247369300150325</v>
      </c>
      <c r="F37" s="4">
        <v>-0.24736930015032499</v>
      </c>
      <c r="G37" s="4">
        <v>-0.2595670411227407</v>
      </c>
      <c r="H37">
        <v>12</v>
      </c>
      <c r="I37">
        <f t="shared" si="0"/>
        <v>-0.24736930015032499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335F-74FF-A641-9C04-694F13EF02A2}">
  <dimension ref="A1:D3"/>
  <sheetViews>
    <sheetView zoomScale="162" workbookViewId="0">
      <selection activeCell="C4" sqref="C4"/>
    </sheetView>
  </sheetViews>
  <sheetFormatPr baseColWidth="10" defaultRowHeight="16" x14ac:dyDescent="0.2"/>
  <sheetData>
    <row r="1" spans="1:4" x14ac:dyDescent="0.2">
      <c r="B1" t="s">
        <v>190</v>
      </c>
      <c r="C1" t="s">
        <v>191</v>
      </c>
      <c r="D1" t="s">
        <v>192</v>
      </c>
    </row>
    <row r="2" spans="1:4" x14ac:dyDescent="0.2">
      <c r="A2" t="s">
        <v>173</v>
      </c>
      <c r="B2">
        <v>41</v>
      </c>
      <c r="C2">
        <v>3</v>
      </c>
      <c r="D2">
        <v>8</v>
      </c>
    </row>
    <row r="3" spans="1:4" x14ac:dyDescent="0.2">
      <c r="A3" t="s">
        <v>174</v>
      </c>
      <c r="B3">
        <v>45</v>
      </c>
      <c r="C3">
        <v>6</v>
      </c>
      <c r="D3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B808-BF4D-8449-AA52-3FB0EC8922AD}">
  <dimension ref="A1"/>
  <sheetViews>
    <sheetView tabSelected="1" workbookViewId="0"/>
  </sheetViews>
  <sheetFormatPr baseColWidth="10" defaultRowHeight="16" x14ac:dyDescent="0.2"/>
  <sheetData>
    <row r="1" spans="1:1" x14ac:dyDescent="0.2">
      <c r="A1">
        <f>212.6-1.9*24</f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4702-8EAB-7F49-9C6D-6814F64E229B}">
  <dimension ref="A1:M34"/>
  <sheetViews>
    <sheetView topLeftCell="A19" zoomScale="172" workbookViewId="0">
      <selection activeCell="G29" sqref="G29"/>
    </sheetView>
  </sheetViews>
  <sheetFormatPr baseColWidth="10" defaultRowHeight="16" x14ac:dyDescent="0.2"/>
  <cols>
    <col min="1" max="1" width="6.1640625" bestFit="1" customWidth="1"/>
    <col min="2" max="2" width="7.1640625" bestFit="1" customWidth="1"/>
    <col min="3" max="4" width="6.1640625" bestFit="1" customWidth="1"/>
    <col min="6" max="6" width="18" bestFit="1" customWidth="1"/>
    <col min="7" max="7" width="14.1640625" bestFit="1" customWidth="1"/>
    <col min="8" max="8" width="16.33203125" bestFit="1" customWidth="1"/>
    <col min="9" max="9" width="15.33203125" bestFit="1" customWidth="1"/>
    <col min="10" max="10" width="14.1640625" bestFit="1" customWidth="1"/>
    <col min="11" max="11" width="13.1640625" bestFit="1" customWidth="1"/>
    <col min="12" max="12" width="12.1640625" bestFit="1" customWidth="1"/>
  </cols>
  <sheetData>
    <row r="1" spans="1:12" x14ac:dyDescent="0.2">
      <c r="A1" s="31" t="s">
        <v>186</v>
      </c>
      <c r="B1" s="31" t="s">
        <v>187</v>
      </c>
      <c r="C1" s="31" t="s">
        <v>188</v>
      </c>
      <c r="D1" s="31" t="s">
        <v>189</v>
      </c>
      <c r="F1" t="s">
        <v>175</v>
      </c>
    </row>
    <row r="2" spans="1:12" x14ac:dyDescent="0.2">
      <c r="A2" s="32">
        <v>62.1</v>
      </c>
      <c r="B2" s="32">
        <v>56.3</v>
      </c>
      <c r="C2" s="32">
        <v>55.6</v>
      </c>
      <c r="D2" s="32">
        <v>53.11</v>
      </c>
    </row>
    <row r="3" spans="1:12" ht="17" thickBot="1" x14ac:dyDescent="0.25">
      <c r="A3" s="32">
        <v>63.2</v>
      </c>
      <c r="B3" s="32">
        <v>59.45</v>
      </c>
      <c r="C3" s="32">
        <v>54.22</v>
      </c>
      <c r="D3" s="32">
        <v>52.9</v>
      </c>
      <c r="F3" t="s">
        <v>176</v>
      </c>
    </row>
    <row r="4" spans="1:12" x14ac:dyDescent="0.2">
      <c r="A4" s="32">
        <v>55.8</v>
      </c>
      <c r="B4" s="32">
        <v>60.02</v>
      </c>
      <c r="C4" s="32">
        <v>53.18</v>
      </c>
      <c r="D4" s="32">
        <v>53.75</v>
      </c>
      <c r="F4" s="5" t="s">
        <v>177</v>
      </c>
      <c r="G4" s="5" t="s">
        <v>178</v>
      </c>
      <c r="H4" s="5" t="s">
        <v>179</v>
      </c>
      <c r="I4" s="5" t="s">
        <v>180</v>
      </c>
      <c r="J4" s="5" t="s">
        <v>181</v>
      </c>
    </row>
    <row r="5" spans="1:12" x14ac:dyDescent="0.2">
      <c r="A5" s="32">
        <v>56.9</v>
      </c>
      <c r="B5" s="32">
        <v>60</v>
      </c>
      <c r="C5" s="32">
        <v>56.12</v>
      </c>
      <c r="D5" s="32">
        <v>54.1</v>
      </c>
      <c r="F5" s="3" t="s">
        <v>186</v>
      </c>
      <c r="G5" s="3">
        <v>8</v>
      </c>
      <c r="H5" s="3">
        <v>481.40000000000003</v>
      </c>
      <c r="I5" s="3">
        <v>60.175000000000004</v>
      </c>
      <c r="J5" s="3">
        <v>6.4559714285714369</v>
      </c>
    </row>
    <row r="6" spans="1:12" x14ac:dyDescent="0.2">
      <c r="A6" s="32">
        <v>61.2</v>
      </c>
      <c r="B6" s="32">
        <v>58.75</v>
      </c>
      <c r="C6" s="32">
        <v>60.01</v>
      </c>
      <c r="D6" s="32">
        <v>59.03</v>
      </c>
      <c r="F6" s="3" t="s">
        <v>187</v>
      </c>
      <c r="G6" s="3">
        <v>8</v>
      </c>
      <c r="H6" s="3">
        <v>467.12</v>
      </c>
      <c r="I6" s="3">
        <v>58.39</v>
      </c>
      <c r="J6" s="3">
        <v>5.7849142857142954</v>
      </c>
    </row>
    <row r="7" spans="1:12" x14ac:dyDescent="0.2">
      <c r="A7" s="32">
        <v>60.18</v>
      </c>
      <c r="B7" s="32">
        <v>59.13</v>
      </c>
      <c r="C7" s="32">
        <v>53.2</v>
      </c>
      <c r="D7" s="32">
        <v>52.35</v>
      </c>
      <c r="F7" s="3" t="s">
        <v>188</v>
      </c>
      <c r="G7" s="3">
        <v>8</v>
      </c>
      <c r="H7" s="3">
        <v>441.52</v>
      </c>
      <c r="I7" s="3">
        <v>55.19</v>
      </c>
      <c r="J7" s="3">
        <v>4.9460857142857098</v>
      </c>
    </row>
    <row r="8" spans="1:12" ht="17" thickBot="1" x14ac:dyDescent="0.25">
      <c r="A8" s="32">
        <v>60.9</v>
      </c>
      <c r="B8" s="32">
        <v>53.3</v>
      </c>
      <c r="C8" s="32">
        <v>54</v>
      </c>
      <c r="D8" s="32">
        <v>52.8</v>
      </c>
      <c r="F8" s="4" t="s">
        <v>189</v>
      </c>
      <c r="G8" s="4">
        <v>8</v>
      </c>
      <c r="H8" s="4">
        <v>432.99</v>
      </c>
      <c r="I8" s="4">
        <v>54.123750000000001</v>
      </c>
      <c r="J8" s="4">
        <v>4.6168553571428603</v>
      </c>
    </row>
    <row r="9" spans="1:12" x14ac:dyDescent="0.2">
      <c r="A9" s="32">
        <v>61.12</v>
      </c>
      <c r="B9" s="32">
        <v>60.17</v>
      </c>
      <c r="C9" s="32">
        <v>55.19</v>
      </c>
      <c r="D9" s="32">
        <v>54.95</v>
      </c>
    </row>
    <row r="10" spans="1:12" x14ac:dyDescent="0.2">
      <c r="A10" s="30"/>
    </row>
    <row r="11" spans="1:12" ht="17" thickBot="1" x14ac:dyDescent="0.25">
      <c r="A11" s="30"/>
      <c r="F11" t="s">
        <v>31</v>
      </c>
    </row>
    <row r="12" spans="1:12" x14ac:dyDescent="0.2">
      <c r="A12" s="2"/>
      <c r="F12" s="5" t="s">
        <v>182</v>
      </c>
      <c r="G12" s="5" t="s">
        <v>37</v>
      </c>
      <c r="H12" s="5" t="s">
        <v>36</v>
      </c>
      <c r="I12" s="5" t="s">
        <v>38</v>
      </c>
      <c r="J12" s="5" t="s">
        <v>39</v>
      </c>
      <c r="K12" s="5" t="s">
        <v>43</v>
      </c>
      <c r="L12" s="5" t="s">
        <v>183</v>
      </c>
    </row>
    <row r="13" spans="1:12" x14ac:dyDescent="0.2">
      <c r="A13" s="2"/>
      <c r="F13" s="3" t="s">
        <v>184</v>
      </c>
      <c r="G13" s="3">
        <v>188.46370937499998</v>
      </c>
      <c r="H13" s="3">
        <v>3</v>
      </c>
      <c r="I13" s="3">
        <v>62.821236458333324</v>
      </c>
      <c r="J13" s="3">
        <v>11.524809305400153</v>
      </c>
      <c r="K13" s="3">
        <v>4.2659447161662264E-5</v>
      </c>
      <c r="L13" s="3">
        <v>2.9466852660172647</v>
      </c>
    </row>
    <row r="14" spans="1:12" x14ac:dyDescent="0.2">
      <c r="A14" s="2"/>
      <c r="F14" s="3" t="s">
        <v>185</v>
      </c>
      <c r="G14" s="3">
        <v>152.62678750000012</v>
      </c>
      <c r="H14" s="3">
        <v>28</v>
      </c>
      <c r="I14" s="3">
        <v>5.4509566964285758</v>
      </c>
      <c r="J14" s="3">
        <f>I13/I14</f>
        <v>11.524809305400153</v>
      </c>
      <c r="K14" s="3">
        <f>_xlfn.F.DIST.RT(J14,H13,H14)</f>
        <v>4.2659447161662264E-5</v>
      </c>
      <c r="L14" s="3">
        <f>_xlfn.F.INV.RT(0.05,H13,H14)</f>
        <v>2.9466852660172647</v>
      </c>
    </row>
    <row r="15" spans="1:12" x14ac:dyDescent="0.2">
      <c r="A15" s="2"/>
      <c r="F15" s="3"/>
      <c r="G15" s="3"/>
      <c r="H15" s="3"/>
      <c r="I15" s="3"/>
      <c r="J15" s="3"/>
      <c r="K15" s="3"/>
      <c r="L15" s="3"/>
    </row>
    <row r="16" spans="1:12" ht="17" thickBot="1" x14ac:dyDescent="0.25">
      <c r="A16" s="2"/>
      <c r="F16" s="4" t="s">
        <v>34</v>
      </c>
      <c r="G16" s="4">
        <v>341.0904968750001</v>
      </c>
      <c r="H16" s="4">
        <v>31</v>
      </c>
      <c r="I16" s="4"/>
      <c r="J16" s="4"/>
      <c r="K16" s="4"/>
      <c r="L16" s="4"/>
    </row>
    <row r="17" spans="1:13" x14ac:dyDescent="0.2">
      <c r="A17" s="2"/>
    </row>
    <row r="18" spans="1:13" x14ac:dyDescent="0.2">
      <c r="A18" s="2"/>
    </row>
    <row r="19" spans="1:13" x14ac:dyDescent="0.2">
      <c r="A19" s="2"/>
    </row>
    <row r="20" spans="1:13" x14ac:dyDescent="0.2">
      <c r="A20" s="2"/>
    </row>
    <row r="21" spans="1:13" x14ac:dyDescent="0.2">
      <c r="A21" s="2"/>
    </row>
    <row r="22" spans="1:13" x14ac:dyDescent="0.2">
      <c r="A22" s="2"/>
      <c r="F22" t="s">
        <v>194</v>
      </c>
      <c r="G22" t="s">
        <v>198</v>
      </c>
      <c r="H22" t="s">
        <v>37</v>
      </c>
      <c r="I22" t="s">
        <v>38</v>
      </c>
      <c r="J22" t="s">
        <v>39</v>
      </c>
      <c r="K22" t="s">
        <v>199</v>
      </c>
    </row>
    <row r="23" spans="1:13" x14ac:dyDescent="0.2">
      <c r="F23" t="s">
        <v>195</v>
      </c>
      <c r="G23" s="33">
        <v>2</v>
      </c>
      <c r="H23" s="33">
        <v>291.80270000000002</v>
      </c>
      <c r="I23" s="33">
        <f>H23/G23</f>
        <v>145.90135000000001</v>
      </c>
      <c r="J23" s="33">
        <f>I23/I24</f>
        <v>14.78565757868907</v>
      </c>
      <c r="K23" s="33">
        <v>9.0499999999999997E-6</v>
      </c>
    </row>
    <row r="24" spans="1:13" x14ac:dyDescent="0.2">
      <c r="F24" t="s">
        <v>196</v>
      </c>
      <c r="G24" s="33">
        <f>19+18+16-3</f>
        <v>50</v>
      </c>
      <c r="H24" s="33">
        <f>H25-H23</f>
        <v>493.38809999999995</v>
      </c>
      <c r="I24" s="33">
        <f>H24/G24</f>
        <v>9.867761999999999</v>
      </c>
      <c r="J24" s="33"/>
      <c r="K24" s="33"/>
    </row>
    <row r="25" spans="1:13" x14ac:dyDescent="0.2">
      <c r="F25" t="s">
        <v>197</v>
      </c>
      <c r="G25" s="33"/>
      <c r="H25" s="33">
        <v>785.19079999999997</v>
      </c>
      <c r="I25" s="33"/>
      <c r="J25" s="33"/>
      <c r="K25" s="33"/>
    </row>
    <row r="26" spans="1:13" x14ac:dyDescent="0.2">
      <c r="G26" s="33"/>
      <c r="I26" s="33"/>
      <c r="J26" s="33"/>
      <c r="K26" s="33"/>
    </row>
    <row r="27" spans="1:13" x14ac:dyDescent="0.2">
      <c r="G27" s="33"/>
      <c r="H27" s="33"/>
      <c r="I27" s="33"/>
      <c r="J27" s="33"/>
      <c r="K27" s="33" t="e" cm="1">
        <f t="array" ref="K27">F.in</f>
        <v>#NAME?</v>
      </c>
    </row>
    <row r="30" spans="1:13" x14ac:dyDescent="0.2">
      <c r="G30" t="s">
        <v>198</v>
      </c>
      <c r="H30" t="s">
        <v>37</v>
      </c>
      <c r="I30" t="s">
        <v>38</v>
      </c>
      <c r="J30" t="s">
        <v>39</v>
      </c>
      <c r="K30" t="s">
        <v>199</v>
      </c>
    </row>
    <row r="31" spans="1:13" x14ac:dyDescent="0.2">
      <c r="F31" t="s">
        <v>200</v>
      </c>
      <c r="G31" s="33">
        <v>4</v>
      </c>
      <c r="H31" s="33">
        <f>H33-H32</f>
        <v>92.320000000000164</v>
      </c>
      <c r="I31" s="33">
        <f>H31/G31</f>
        <v>23.080000000000041</v>
      </c>
      <c r="J31" s="33">
        <f>I31/I32</f>
        <v>0.33208769614674738</v>
      </c>
      <c r="K31" s="33">
        <v>0.85450000000000004</v>
      </c>
      <c r="L31">
        <f>_xlfn.F.INV.RT(K31,G31,G32)</f>
        <v>0.33207006400791522</v>
      </c>
    </row>
    <row r="32" spans="1:13" x14ac:dyDescent="0.2">
      <c r="F32" t="s">
        <v>33</v>
      </c>
      <c r="G32" s="33">
        <v>35</v>
      </c>
      <c r="H32" s="33">
        <v>2432.4899999999998</v>
      </c>
      <c r="I32" s="33">
        <f>H32/G32</f>
        <v>69.499714285714276</v>
      </c>
      <c r="J32" s="33"/>
      <c r="K32" s="33"/>
      <c r="L32">
        <f>SQRT(J31)</f>
        <v>0.57627050605314456</v>
      </c>
      <c r="M32">
        <f>_xlfn.T.INV.2T(0.05,39)</f>
        <v>2.0226909200367595</v>
      </c>
    </row>
    <row r="33" spans="6:11" x14ac:dyDescent="0.2">
      <c r="F33" t="s">
        <v>34</v>
      </c>
      <c r="G33" s="33"/>
      <c r="H33" s="33">
        <v>2524.81</v>
      </c>
      <c r="I33" s="33"/>
      <c r="J33" s="33"/>
      <c r="K33" s="33"/>
    </row>
    <row r="34" spans="6:11" x14ac:dyDescent="0.2">
      <c r="G34" s="33"/>
      <c r="H34" s="33"/>
      <c r="I34" s="33"/>
      <c r="J34" s="33"/>
      <c r="K34" s="3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concepts</vt:lpstr>
      <vt:lpstr>Indep. Sample t test</vt:lpstr>
      <vt:lpstr>Sheet10</vt:lpstr>
      <vt:lpstr>Indep. Sample z test</vt:lpstr>
      <vt:lpstr>Paired Sample t test</vt:lpstr>
      <vt:lpstr>proportion testing</vt:lpstr>
      <vt:lpstr>auto-concepts</vt:lpstr>
      <vt:lpstr>Sheet9</vt:lpstr>
      <vt:lpstr>Sheet8</vt:lpstr>
      <vt:lpstr>anova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2021-05-15T06:02:57Z</dcterms:created>
  <dcterms:modified xsi:type="dcterms:W3CDTF">2021-05-15T16:02:18Z</dcterms:modified>
</cp:coreProperties>
</file>