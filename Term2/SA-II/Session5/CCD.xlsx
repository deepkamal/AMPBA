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/>
  <mc:AlternateContent xmlns:mc="http://schemas.openxmlformats.org/markup-compatibility/2006">
    <mc:Choice Requires="x15">
      <x15ac:absPath xmlns:x15ac="http://schemas.microsoft.com/office/spreadsheetml/2010/11/ac" url="/Users/dks/AMPBA/Term2/SA-II/Session5/"/>
    </mc:Choice>
  </mc:AlternateContent>
  <xr:revisionPtr revIDLastSave="0" documentId="13_ncr:1_{38E5FA5C-B882-4D47-AD75-2FF55341DF6C}" xr6:coauthVersionLast="47" xr6:coauthVersionMax="47" xr10:uidLastSave="{00000000-0000-0000-0000-000000000000}"/>
  <bookViews>
    <workbookView xWindow="0" yWindow="500" windowWidth="40040" windowHeight="25100" xr2:uid="{00000000-000D-0000-FFFF-FFFF00000000}"/>
  </bookViews>
  <sheets>
    <sheet name="CC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9" i="1" l="1"/>
  <c r="H19" i="1"/>
</calcChain>
</file>

<file path=xl/sharedStrings.xml><?xml version="1.0" encoding="utf-8"?>
<sst xmlns="http://schemas.openxmlformats.org/spreadsheetml/2006/main" count="37" uniqueCount="35">
  <si>
    <t>Store Size (Sq. Ft.)</t>
  </si>
  <si>
    <t>Monthly sales (INR)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</si>
  <si>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</si>
  <si>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</si>
  <si>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</si>
  <si>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</si>
  <si>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</si>
  <si>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</si>
  <si>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</si>
  <si>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</si>
  <si>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</si>
  <si>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</si>
  <si>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</si>
  <si>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</si>
  <si>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</si>
  <si>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</si>
  <si>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</si>
  <si>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</si>
  <si>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</si>
  <si>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</si>
  <si>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</si>
  <si>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</si>
  <si>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</si>
  <si>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</si>
  <si>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</si>
  <si>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</si>
  <si>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</si>
  <si>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</si>
  <si>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Monthly sales (INR)</t>
  </si>
  <si>
    <t>Residuals</t>
  </si>
  <si>
    <t>Standard Residuals</t>
  </si>
  <si>
    <t>PROBABILITY OUTPUT</t>
  </si>
  <si>
    <t>Percentile</t>
  </si>
  <si>
    <t>At 500/sqFt</t>
  </si>
  <si>
    <t>Standard Error(RMSE)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</si>
</sst>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Store Size (Sq. Ft.)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CCD!$A$2:$A$54</c:f>
              <c:numCache>
                <c:formatCode>General</c:formatCode>
                <c:ptCount val="53"/>
                <c:pt idx="0">
                  <c:v>134.6</c:v>
                </c:pt>
                <c:pt idx="1">
                  <c:v>137.19999999999999</c:v>
                </c:pt>
                <c:pt idx="2">
                  <c:v>142.80000000000001</c:v>
                </c:pt>
                <c:pt idx="3">
                  <c:v>145.80000000000001</c:v>
                </c:pt>
                <c:pt idx="4">
                  <c:v>146.80000000000001</c:v>
                </c:pt>
                <c:pt idx="5">
                  <c:v>153.4</c:v>
                </c:pt>
                <c:pt idx="6">
                  <c:v>153.6</c:v>
                </c:pt>
                <c:pt idx="7">
                  <c:v>158.6</c:v>
                </c:pt>
                <c:pt idx="8">
                  <c:v>158.80000000000001</c:v>
                </c:pt>
                <c:pt idx="9">
                  <c:v>159</c:v>
                </c:pt>
                <c:pt idx="10">
                  <c:v>161.19999999999999</c:v>
                </c:pt>
                <c:pt idx="11">
                  <c:v>166.4</c:v>
                </c:pt>
                <c:pt idx="12">
                  <c:v>166.8</c:v>
                </c:pt>
                <c:pt idx="13">
                  <c:v>167.4</c:v>
                </c:pt>
                <c:pt idx="14">
                  <c:v>169.8</c:v>
                </c:pt>
                <c:pt idx="15">
                  <c:v>171</c:v>
                </c:pt>
                <c:pt idx="16">
                  <c:v>171.8</c:v>
                </c:pt>
                <c:pt idx="17">
                  <c:v>173.6</c:v>
                </c:pt>
                <c:pt idx="18">
                  <c:v>176.4</c:v>
                </c:pt>
                <c:pt idx="19">
                  <c:v>176.6</c:v>
                </c:pt>
                <c:pt idx="20">
                  <c:v>177.4</c:v>
                </c:pt>
                <c:pt idx="21">
                  <c:v>182.2</c:v>
                </c:pt>
                <c:pt idx="22">
                  <c:v>182.2</c:v>
                </c:pt>
                <c:pt idx="23">
                  <c:v>184.2</c:v>
                </c:pt>
                <c:pt idx="24">
                  <c:v>185</c:v>
                </c:pt>
                <c:pt idx="25">
                  <c:v>187.6</c:v>
                </c:pt>
                <c:pt idx="26">
                  <c:v>187.8</c:v>
                </c:pt>
                <c:pt idx="27">
                  <c:v>190.4</c:v>
                </c:pt>
                <c:pt idx="28">
                  <c:v>190.6</c:v>
                </c:pt>
                <c:pt idx="29">
                  <c:v>191</c:v>
                </c:pt>
                <c:pt idx="30">
                  <c:v>192</c:v>
                </c:pt>
                <c:pt idx="31">
                  <c:v>192.2</c:v>
                </c:pt>
                <c:pt idx="32">
                  <c:v>193.4</c:v>
                </c:pt>
                <c:pt idx="33">
                  <c:v>196.4</c:v>
                </c:pt>
                <c:pt idx="34">
                  <c:v>196.8</c:v>
                </c:pt>
                <c:pt idx="35">
                  <c:v>199.6</c:v>
                </c:pt>
                <c:pt idx="36">
                  <c:v>200</c:v>
                </c:pt>
                <c:pt idx="37">
                  <c:v>200.2</c:v>
                </c:pt>
                <c:pt idx="38">
                  <c:v>200.2</c:v>
                </c:pt>
                <c:pt idx="39">
                  <c:v>201.2</c:v>
                </c:pt>
                <c:pt idx="40">
                  <c:v>201.6</c:v>
                </c:pt>
                <c:pt idx="41">
                  <c:v>202.6</c:v>
                </c:pt>
                <c:pt idx="42">
                  <c:v>206.2</c:v>
                </c:pt>
                <c:pt idx="43">
                  <c:v>207.4</c:v>
                </c:pt>
                <c:pt idx="44">
                  <c:v>209</c:v>
                </c:pt>
                <c:pt idx="45">
                  <c:v>210</c:v>
                </c:pt>
                <c:pt idx="46">
                  <c:v>212.8</c:v>
                </c:pt>
                <c:pt idx="47">
                  <c:v>215.2</c:v>
                </c:pt>
                <c:pt idx="48">
                  <c:v>216.4</c:v>
                </c:pt>
                <c:pt idx="49">
                  <c:v>218.4</c:v>
                </c:pt>
                <c:pt idx="50">
                  <c:v>221.6</c:v>
                </c:pt>
                <c:pt idx="51">
                  <c:v>226.8</c:v>
                </c:pt>
                <c:pt idx="52">
                  <c:v>243.6</c:v>
                </c:pt>
              </c:numCache>
            </c:numRef>
          </c:xVal>
          <c:yVal>
            <c:numRef>
              <c:f>CCD!$G$25:$G$77</c:f>
              <c:numCache>
                <c:formatCode>General</c:formatCode>
                <c:ptCount val="53"/>
                <c:pt idx="0">
                  <c:v>-9121.0368841012169</c:v>
                </c:pt>
                <c:pt idx="1">
                  <c:v>-73.595505543213221</c:v>
                </c:pt>
                <c:pt idx="2">
                  <c:v>-600.98441065780935</c:v>
                </c:pt>
                <c:pt idx="3">
                  <c:v>-11247.333095254871</c:v>
                </c:pt>
                <c:pt idx="4">
                  <c:v>-7531.0790453747322</c:v>
                </c:pt>
                <c:pt idx="5">
                  <c:v>-1881.8445565863076</c:v>
                </c:pt>
                <c:pt idx="6">
                  <c:v>8175.0568314996344</c:v>
                </c:pt>
                <c:pt idx="7">
                  <c:v>-742.29575182472763</c:v>
                </c:pt>
                <c:pt idx="8">
                  <c:v>10175.27894244685</c:v>
                </c:pt>
                <c:pt idx="9">
                  <c:v>4965.650286175689</c:v>
                </c:pt>
                <c:pt idx="10">
                  <c:v>4782.2743198161334</c:v>
                </c:pt>
                <c:pt idx="11">
                  <c:v>395.30636630581284</c:v>
                </c:pt>
                <c:pt idx="12">
                  <c:v>-1677.1728980819753</c:v>
                </c:pt>
                <c:pt idx="13">
                  <c:v>-1076.6638483811839</c:v>
                </c:pt>
                <c:pt idx="14">
                  <c:v>4431.1771437956195</c:v>
                </c:pt>
                <c:pt idx="15">
                  <c:v>874.31088676633954</c:v>
                </c:pt>
                <c:pt idx="16">
                  <c:v>-1448.1090375452477</c:v>
                </c:pt>
                <c:pt idx="17">
                  <c:v>7160.8504524479213</c:v>
                </c:pt>
                <c:pt idx="18">
                  <c:v>-2990.3239329102216</c:v>
                </c:pt>
                <c:pt idx="19">
                  <c:v>11681.555937918209</c:v>
                </c:pt>
                <c:pt idx="20">
                  <c:v>5587.0016457220772</c:v>
                </c:pt>
                <c:pt idx="21">
                  <c:v>-2101.8847454717179</c:v>
                </c:pt>
                <c:pt idx="22">
                  <c:v>-6769.8412473791832</c:v>
                </c:pt>
                <c:pt idx="23">
                  <c:v>-9915.2354624298314</c:v>
                </c:pt>
                <c:pt idx="24">
                  <c:v>-4234.752452084067</c:v>
                </c:pt>
                <c:pt idx="25">
                  <c:v>-4153.8081622205937</c:v>
                </c:pt>
                <c:pt idx="26">
                  <c:v>2836.2564897879492</c:v>
                </c:pt>
                <c:pt idx="27">
                  <c:v>-5408.0714323452848</c:v>
                </c:pt>
                <c:pt idx="28">
                  <c:v>638.93102400389034</c:v>
                </c:pt>
                <c:pt idx="29">
                  <c:v>617.22069843282225</c:v>
                </c:pt>
                <c:pt idx="30">
                  <c:v>7034.1099295650347</c:v>
                </c:pt>
                <c:pt idx="31">
                  <c:v>1173.4457479295816</c:v>
                </c:pt>
                <c:pt idx="32">
                  <c:v>1419.3196279761614</c:v>
                </c:pt>
                <c:pt idx="33">
                  <c:v>-4095.998507873941</c:v>
                </c:pt>
                <c:pt idx="34">
                  <c:v>6074.1053153760149</c:v>
                </c:pt>
                <c:pt idx="35">
                  <c:v>-2145.52375467823</c:v>
                </c:pt>
                <c:pt idx="36">
                  <c:v>-5201.1113966812118</c:v>
                </c:pt>
                <c:pt idx="37">
                  <c:v>-1251.708884855645</c:v>
                </c:pt>
                <c:pt idx="38">
                  <c:v>7066.8600494481216</c:v>
                </c:pt>
                <c:pt idx="39">
                  <c:v>628.9264863353601</c:v>
                </c:pt>
                <c:pt idx="40">
                  <c:v>1205.5108285271272</c:v>
                </c:pt>
                <c:pt idx="41">
                  <c:v>9095.2000153141853</c:v>
                </c:pt>
                <c:pt idx="42">
                  <c:v>5136.4261004037689</c:v>
                </c:pt>
                <c:pt idx="43">
                  <c:v>-3738.0798341730551</c:v>
                </c:pt>
                <c:pt idx="44">
                  <c:v>-3007.3779266642232</c:v>
                </c:pt>
                <c:pt idx="45">
                  <c:v>2961.2613987821969</c:v>
                </c:pt>
                <c:pt idx="46">
                  <c:v>-4301.0869059470278</c:v>
                </c:pt>
                <c:pt idx="47">
                  <c:v>8450.3267726980703</c:v>
                </c:pt>
                <c:pt idx="48">
                  <c:v>-1373.3157399531046</c:v>
                </c:pt>
                <c:pt idx="49">
                  <c:v>2187.6427500673744</c:v>
                </c:pt>
                <c:pt idx="50">
                  <c:v>-12309.532726402816</c:v>
                </c:pt>
                <c:pt idx="51">
                  <c:v>-2580.9033062595699</c:v>
                </c:pt>
                <c:pt idx="52">
                  <c:v>-3775.3345958611899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65-A945-9D94-A75F312EB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6052751"/>
        <c:axId val="286084943"/>
      </c:scatterChart>
      <c:valAx>
        <c:axId val="286052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Store Size (Sq. Ft.)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86084943"/>
        <c:crosses val="autoZero"/>
        <c:crossBetween val="midCat"/>
      </c:valAx>
      <c:valAx>
        <c:axId val="28608494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8605275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Store Size (Sq. Ft.)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Monthly sales (INR)</c:v>
          </c:tx>
          <c:spPr>
            <a:ln w="19050">
              <a:noFill/>
            </a:ln>
          </c:spPr>
          <c:xVal>
            <c:numRef>
              <c:f>CCD!$A$2:$A$54</c:f>
              <c:numCache>
                <c:formatCode>General</c:formatCode>
                <c:ptCount val="53"/>
                <c:pt idx="0">
                  <c:v>134.6</c:v>
                </c:pt>
                <c:pt idx="1">
                  <c:v>137.19999999999999</c:v>
                </c:pt>
                <c:pt idx="2">
                  <c:v>142.80000000000001</c:v>
                </c:pt>
                <c:pt idx="3">
                  <c:v>145.80000000000001</c:v>
                </c:pt>
                <c:pt idx="4">
                  <c:v>146.80000000000001</c:v>
                </c:pt>
                <c:pt idx="5">
                  <c:v>153.4</c:v>
                </c:pt>
                <c:pt idx="6">
                  <c:v>153.6</c:v>
                </c:pt>
                <c:pt idx="7">
                  <c:v>158.6</c:v>
                </c:pt>
                <c:pt idx="8">
                  <c:v>158.80000000000001</c:v>
                </c:pt>
                <c:pt idx="9">
                  <c:v>159</c:v>
                </c:pt>
                <c:pt idx="10">
                  <c:v>161.19999999999999</c:v>
                </c:pt>
                <c:pt idx="11">
                  <c:v>166.4</c:v>
                </c:pt>
                <c:pt idx="12">
                  <c:v>166.8</c:v>
                </c:pt>
                <c:pt idx="13">
                  <c:v>167.4</c:v>
                </c:pt>
                <c:pt idx="14">
                  <c:v>169.8</c:v>
                </c:pt>
                <c:pt idx="15">
                  <c:v>171</c:v>
                </c:pt>
                <c:pt idx="16">
                  <c:v>171.8</c:v>
                </c:pt>
                <c:pt idx="17">
                  <c:v>173.6</c:v>
                </c:pt>
                <c:pt idx="18">
                  <c:v>176.4</c:v>
                </c:pt>
                <c:pt idx="19">
                  <c:v>176.6</c:v>
                </c:pt>
                <c:pt idx="20">
                  <c:v>177.4</c:v>
                </c:pt>
                <c:pt idx="21">
                  <c:v>182.2</c:v>
                </c:pt>
                <c:pt idx="22">
                  <c:v>182.2</c:v>
                </c:pt>
                <c:pt idx="23">
                  <c:v>184.2</c:v>
                </c:pt>
                <c:pt idx="24">
                  <c:v>185</c:v>
                </c:pt>
                <c:pt idx="25">
                  <c:v>187.6</c:v>
                </c:pt>
                <c:pt idx="26">
                  <c:v>187.8</c:v>
                </c:pt>
                <c:pt idx="27">
                  <c:v>190.4</c:v>
                </c:pt>
                <c:pt idx="28">
                  <c:v>190.6</c:v>
                </c:pt>
                <c:pt idx="29">
                  <c:v>191</c:v>
                </c:pt>
                <c:pt idx="30">
                  <c:v>192</c:v>
                </c:pt>
                <c:pt idx="31">
                  <c:v>192.2</c:v>
                </c:pt>
                <c:pt idx="32">
                  <c:v>193.4</c:v>
                </c:pt>
                <c:pt idx="33">
                  <c:v>196.4</c:v>
                </c:pt>
                <c:pt idx="34">
                  <c:v>196.8</c:v>
                </c:pt>
                <c:pt idx="35">
                  <c:v>199.6</c:v>
                </c:pt>
                <c:pt idx="36">
                  <c:v>200</c:v>
                </c:pt>
                <c:pt idx="37">
                  <c:v>200.2</c:v>
                </c:pt>
                <c:pt idx="38">
                  <c:v>200.2</c:v>
                </c:pt>
                <c:pt idx="39">
                  <c:v>201.2</c:v>
                </c:pt>
                <c:pt idx="40">
                  <c:v>201.6</c:v>
                </c:pt>
                <c:pt idx="41">
                  <c:v>202.6</c:v>
                </c:pt>
                <c:pt idx="42">
                  <c:v>206.2</c:v>
                </c:pt>
                <c:pt idx="43">
                  <c:v>207.4</c:v>
                </c:pt>
                <c:pt idx="44">
                  <c:v>209</c:v>
                </c:pt>
                <c:pt idx="45">
                  <c:v>210</c:v>
                </c:pt>
                <c:pt idx="46">
                  <c:v>212.8</c:v>
                </c:pt>
                <c:pt idx="47">
                  <c:v>215.2</c:v>
                </c:pt>
                <c:pt idx="48">
                  <c:v>216.4</c:v>
                </c:pt>
                <c:pt idx="49">
                  <c:v>218.4</c:v>
                </c:pt>
                <c:pt idx="50">
                  <c:v>221.6</c:v>
                </c:pt>
                <c:pt idx="51">
                  <c:v>226.8</c:v>
                </c:pt>
                <c:pt idx="52">
                  <c:v>243.6</c:v>
                </c:pt>
              </c:numCache>
            </c:numRef>
          </c:xVal>
          <c:yVal>
            <c:numRef>
              <c:f>CCD!$B$2:$B$54</c:f>
              <c:numCache>
                <c:formatCode>General</c:formatCode>
                <c:ptCount val="53"/>
                <c:pt idx="0">
                  <c:v>65000.970542154253</c:v>
                </c:pt>
                <c:pt idx="1">
                  <c:v>74857.245127908333</c:v>
                </c:pt>
                <c:pt idx="2">
                  <c:v>76071.958515216058</c:v>
                </c:pt>
                <c:pt idx="3">
                  <c:v>66358.878915845227</c:v>
                </c:pt>
                <c:pt idx="4">
                  <c:v>70386.222660800791</c:v>
                </c:pt>
                <c:pt idx="5">
                  <c:v>78088.649137086919</c:v>
                </c:pt>
                <c:pt idx="6">
                  <c:v>88207.768464187946</c:v>
                </c:pt>
                <c:pt idx="7">
                  <c:v>80845.864356240651</c:v>
                </c:pt>
                <c:pt idx="8">
                  <c:v>91825.656989527313</c:v>
                </c:pt>
                <c:pt idx="9">
                  <c:v>86678.246272271237</c:v>
                </c:pt>
                <c:pt idx="10">
                  <c:v>87179.267635077573</c:v>
                </c:pt>
                <c:pt idx="11">
                  <c:v>84409.966095959404</c:v>
                </c:pt>
                <c:pt idx="12">
                  <c:v>82461.922709601786</c:v>
                </c:pt>
                <c:pt idx="13">
                  <c:v>83249.085576347818</c:v>
                </c:pt>
                <c:pt idx="14">
                  <c:v>89503.541836705612</c:v>
                </c:pt>
                <c:pt idx="15">
                  <c:v>86319.983213766827</c:v>
                </c:pt>
                <c:pt idx="16">
                  <c:v>84246.435045515565</c:v>
                </c:pt>
                <c:pt idx="17">
                  <c:v>93415.355986644485</c:v>
                </c:pt>
                <c:pt idx="18">
                  <c:v>84135.232747497503</c:v>
                </c:pt>
                <c:pt idx="19">
                  <c:v>98869.330557341003</c:v>
                </c:pt>
                <c:pt idx="20">
                  <c:v>93023.648021205212</c:v>
                </c:pt>
                <c:pt idx="21">
                  <c:v>86827.992166373384</c:v>
                </c:pt>
                <c:pt idx="22">
                  <c:v>82160.035664465919</c:v>
                </c:pt>
                <c:pt idx="23">
                  <c:v>79636.820839566091</c:v>
                </c:pt>
                <c:pt idx="24">
                  <c:v>85566.175605972181</c:v>
                </c:pt>
                <c:pt idx="25">
                  <c:v>86455.95310303173</c:v>
                </c:pt>
                <c:pt idx="26">
                  <c:v>93508.235694055358</c:v>
                </c:pt>
                <c:pt idx="27">
                  <c:v>86072.7409791182</c:v>
                </c:pt>
                <c:pt idx="28">
                  <c:v>92181.96137448246</c:v>
                </c:pt>
                <c:pt idx="29">
                  <c:v>92284.686926941562</c:v>
                </c:pt>
                <c:pt idx="30">
                  <c:v>99012.665853149185</c:v>
                </c:pt>
                <c:pt idx="31">
                  <c:v>93214.219610528802</c:v>
                </c:pt>
                <c:pt idx="32">
                  <c:v>93833.401124665892</c:v>
                </c:pt>
                <c:pt idx="33">
                  <c:v>89251.352074042021</c:v>
                </c:pt>
                <c:pt idx="34">
                  <c:v>99545.891775322147</c:v>
                </c:pt>
                <c:pt idx="35">
                  <c:v>92197.313851479033</c:v>
                </c:pt>
                <c:pt idx="36">
                  <c:v>89266.162087506222</c:v>
                </c:pt>
                <c:pt idx="37">
                  <c:v>93277.782538346873</c:v>
                </c:pt>
                <c:pt idx="38">
                  <c:v>101596.35147265064</c:v>
                </c:pt>
                <c:pt idx="39">
                  <c:v>95469.507604613289</c:v>
                </c:pt>
                <c:pt idx="40">
                  <c:v>96170.527824835226</c:v>
                </c:pt>
                <c:pt idx="41">
                  <c:v>104371.30670669769</c:v>
                </c:pt>
                <c:pt idx="42">
                  <c:v>101532.45569405876</c:v>
                </c:pt>
                <c:pt idx="43">
                  <c:v>93031.257393572436</c:v>
                </c:pt>
                <c:pt idx="44">
                  <c:v>94259.702813201933</c:v>
                </c:pt>
                <c:pt idx="45">
                  <c:v>100539.43183372376</c:v>
                </c:pt>
                <c:pt idx="46">
                  <c:v>94148.1346752057</c:v>
                </c:pt>
                <c:pt idx="47">
                  <c:v>107646.16362203176</c:v>
                </c:pt>
                <c:pt idx="48">
                  <c:v>98195.828743471095</c:v>
                </c:pt>
                <c:pt idx="49">
                  <c:v>102378.96662364239</c:v>
                </c:pt>
                <c:pt idx="50">
                  <c:v>88877.278171413534</c:v>
                </c:pt>
                <c:pt idx="51">
                  <c:v>100223.57400594893</c:v>
                </c:pt>
                <c:pt idx="52">
                  <c:v>104255.44959361422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C9-7F46-B488-EE8F8252639D}"/>
            </c:ext>
          </c:extLst>
        </c:ser>
        <c:ser>
          <c:idx val="1"/>
          <c:order val="1"/>
          <c:tx>
            <c:v>Predicted Monthly sales (INR)</c:v>
          </c:tx>
          <c:spPr>
            <a:ln w="19050">
              <a:noFill/>
            </a:ln>
          </c:spPr>
          <c:xVal>
            <c:numRef>
              <c:f>CCD!$A$2:$A$54</c:f>
              <c:numCache>
                <c:formatCode>General</c:formatCode>
                <c:ptCount val="53"/>
                <c:pt idx="0">
                  <c:v>134.6</c:v>
                </c:pt>
                <c:pt idx="1">
                  <c:v>137.19999999999999</c:v>
                </c:pt>
                <c:pt idx="2">
                  <c:v>142.80000000000001</c:v>
                </c:pt>
                <c:pt idx="3">
                  <c:v>145.80000000000001</c:v>
                </c:pt>
                <c:pt idx="4">
                  <c:v>146.80000000000001</c:v>
                </c:pt>
                <c:pt idx="5">
                  <c:v>153.4</c:v>
                </c:pt>
                <c:pt idx="6">
                  <c:v>153.6</c:v>
                </c:pt>
                <c:pt idx="7">
                  <c:v>158.6</c:v>
                </c:pt>
                <c:pt idx="8">
                  <c:v>158.80000000000001</c:v>
                </c:pt>
                <c:pt idx="9">
                  <c:v>159</c:v>
                </c:pt>
                <c:pt idx="10">
                  <c:v>161.19999999999999</c:v>
                </c:pt>
                <c:pt idx="11">
                  <c:v>166.4</c:v>
                </c:pt>
                <c:pt idx="12">
                  <c:v>166.8</c:v>
                </c:pt>
                <c:pt idx="13">
                  <c:v>167.4</c:v>
                </c:pt>
                <c:pt idx="14">
                  <c:v>169.8</c:v>
                </c:pt>
                <c:pt idx="15">
                  <c:v>171</c:v>
                </c:pt>
                <c:pt idx="16">
                  <c:v>171.8</c:v>
                </c:pt>
                <c:pt idx="17">
                  <c:v>173.6</c:v>
                </c:pt>
                <c:pt idx="18">
                  <c:v>176.4</c:v>
                </c:pt>
                <c:pt idx="19">
                  <c:v>176.6</c:v>
                </c:pt>
                <c:pt idx="20">
                  <c:v>177.4</c:v>
                </c:pt>
                <c:pt idx="21">
                  <c:v>182.2</c:v>
                </c:pt>
                <c:pt idx="22">
                  <c:v>182.2</c:v>
                </c:pt>
                <c:pt idx="23">
                  <c:v>184.2</c:v>
                </c:pt>
                <c:pt idx="24">
                  <c:v>185</c:v>
                </c:pt>
                <c:pt idx="25">
                  <c:v>187.6</c:v>
                </c:pt>
                <c:pt idx="26">
                  <c:v>187.8</c:v>
                </c:pt>
                <c:pt idx="27">
                  <c:v>190.4</c:v>
                </c:pt>
                <c:pt idx="28">
                  <c:v>190.6</c:v>
                </c:pt>
                <c:pt idx="29">
                  <c:v>191</c:v>
                </c:pt>
                <c:pt idx="30">
                  <c:v>192</c:v>
                </c:pt>
                <c:pt idx="31">
                  <c:v>192.2</c:v>
                </c:pt>
                <c:pt idx="32">
                  <c:v>193.4</c:v>
                </c:pt>
                <c:pt idx="33">
                  <c:v>196.4</c:v>
                </c:pt>
                <c:pt idx="34">
                  <c:v>196.8</c:v>
                </c:pt>
                <c:pt idx="35">
                  <c:v>199.6</c:v>
                </c:pt>
                <c:pt idx="36">
                  <c:v>200</c:v>
                </c:pt>
                <c:pt idx="37">
                  <c:v>200.2</c:v>
                </c:pt>
                <c:pt idx="38">
                  <c:v>200.2</c:v>
                </c:pt>
                <c:pt idx="39">
                  <c:v>201.2</c:v>
                </c:pt>
                <c:pt idx="40">
                  <c:v>201.6</c:v>
                </c:pt>
                <c:pt idx="41">
                  <c:v>202.6</c:v>
                </c:pt>
                <c:pt idx="42">
                  <c:v>206.2</c:v>
                </c:pt>
                <c:pt idx="43">
                  <c:v>207.4</c:v>
                </c:pt>
                <c:pt idx="44">
                  <c:v>209</c:v>
                </c:pt>
                <c:pt idx="45">
                  <c:v>210</c:v>
                </c:pt>
                <c:pt idx="46">
                  <c:v>212.8</c:v>
                </c:pt>
                <c:pt idx="47">
                  <c:v>215.2</c:v>
                </c:pt>
                <c:pt idx="48">
                  <c:v>216.4</c:v>
                </c:pt>
                <c:pt idx="49">
                  <c:v>218.4</c:v>
                </c:pt>
                <c:pt idx="50">
                  <c:v>221.6</c:v>
                </c:pt>
                <c:pt idx="51">
                  <c:v>226.8</c:v>
                </c:pt>
                <c:pt idx="52">
                  <c:v>243.6</c:v>
                </c:pt>
              </c:numCache>
            </c:numRef>
          </c:xVal>
          <c:yVal>
            <c:numRef>
              <c:f>CCD!$F$25:$F$77</c:f>
              <c:numCache>
                <c:formatCode>General</c:formatCode>
                <c:ptCount val="53"/>
                <c:pt idx="0">
                  <c:v>74122.00742625547</c:v>
                </c:pt>
                <c:pt idx="1">
                  <c:v>74930.840633451546</c:v>
                </c:pt>
                <c:pt idx="2">
                  <c:v>76672.942925873867</c:v>
                </c:pt>
                <c:pt idx="3">
                  <c:v>77606.212011100099</c:v>
                </c:pt>
                <c:pt idx="4">
                  <c:v>77917.301706175524</c:v>
                </c:pt>
                <c:pt idx="5">
                  <c:v>79970.493693673227</c:v>
                </c:pt>
                <c:pt idx="6">
                  <c:v>80032.711632688312</c:v>
                </c:pt>
                <c:pt idx="7">
                  <c:v>81588.160108065378</c:v>
                </c:pt>
                <c:pt idx="8">
                  <c:v>81650.378047080463</c:v>
                </c:pt>
                <c:pt idx="9">
                  <c:v>81712.595986095548</c:v>
                </c:pt>
                <c:pt idx="10">
                  <c:v>82396.993315261439</c:v>
                </c:pt>
                <c:pt idx="11">
                  <c:v>84014.659729653591</c:v>
                </c:pt>
                <c:pt idx="12">
                  <c:v>84139.095607683761</c:v>
                </c:pt>
                <c:pt idx="13">
                  <c:v>84325.749424729001</c:v>
                </c:pt>
                <c:pt idx="14">
                  <c:v>85072.364692909992</c:v>
                </c:pt>
                <c:pt idx="15">
                  <c:v>85445.672327000488</c:v>
                </c:pt>
                <c:pt idx="16">
                  <c:v>85694.544083060813</c:v>
                </c:pt>
                <c:pt idx="17">
                  <c:v>86254.505534196564</c:v>
                </c:pt>
                <c:pt idx="18">
                  <c:v>87125.556680407724</c:v>
                </c:pt>
                <c:pt idx="19">
                  <c:v>87187.774619422795</c:v>
                </c:pt>
                <c:pt idx="20">
                  <c:v>87436.646375483135</c:v>
                </c:pt>
                <c:pt idx="21">
                  <c:v>88929.876911845102</c:v>
                </c:pt>
                <c:pt idx="22">
                  <c:v>88929.876911845102</c:v>
                </c:pt>
                <c:pt idx="23">
                  <c:v>89552.056301995923</c:v>
                </c:pt>
                <c:pt idx="24">
                  <c:v>89800.928058056248</c:v>
                </c:pt>
                <c:pt idx="25">
                  <c:v>90609.761265252324</c:v>
                </c:pt>
                <c:pt idx="26">
                  <c:v>90671.979204267409</c:v>
                </c:pt>
                <c:pt idx="27">
                  <c:v>91480.812411463485</c:v>
                </c:pt>
                <c:pt idx="28">
                  <c:v>91543.03035047857</c:v>
                </c:pt>
                <c:pt idx="29">
                  <c:v>91667.46622850874</c:v>
                </c:pt>
                <c:pt idx="30">
                  <c:v>91978.55592358415</c:v>
                </c:pt>
                <c:pt idx="31">
                  <c:v>92040.773862599221</c:v>
                </c:pt>
                <c:pt idx="32">
                  <c:v>92414.081496689731</c:v>
                </c:pt>
                <c:pt idx="33">
                  <c:v>93347.350581915962</c:v>
                </c:pt>
                <c:pt idx="34">
                  <c:v>93471.786459946132</c:v>
                </c:pt>
                <c:pt idx="35">
                  <c:v>94342.837606157264</c:v>
                </c:pt>
                <c:pt idx="36">
                  <c:v>94467.273484187433</c:v>
                </c:pt>
                <c:pt idx="37">
                  <c:v>94529.491423202518</c:v>
                </c:pt>
                <c:pt idx="38">
                  <c:v>94529.491423202518</c:v>
                </c:pt>
                <c:pt idx="39">
                  <c:v>94840.581118277929</c:v>
                </c:pt>
                <c:pt idx="40">
                  <c:v>94965.016996308099</c:v>
                </c:pt>
                <c:pt idx="41">
                  <c:v>95276.106691383509</c:v>
                </c:pt>
                <c:pt idx="42">
                  <c:v>96396.029593654996</c:v>
                </c:pt>
                <c:pt idx="43">
                  <c:v>96769.337227745491</c:v>
                </c:pt>
                <c:pt idx="44">
                  <c:v>97267.080739866156</c:v>
                </c:pt>
                <c:pt idx="45">
                  <c:v>97578.170434941567</c:v>
                </c:pt>
                <c:pt idx="46">
                  <c:v>98449.221581152728</c:v>
                </c:pt>
                <c:pt idx="47">
                  <c:v>99195.836849333689</c:v>
                </c:pt>
                <c:pt idx="48">
                  <c:v>99569.144483424199</c:v>
                </c:pt>
                <c:pt idx="49">
                  <c:v>100191.32387357502</c:v>
                </c:pt>
                <c:pt idx="50">
                  <c:v>101186.81089781635</c:v>
                </c:pt>
                <c:pt idx="51">
                  <c:v>102804.4773122085</c:v>
                </c:pt>
                <c:pt idx="52">
                  <c:v>108030.78418947541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9C9-7F46-B488-EE8F82526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9753024"/>
        <c:axId val="1679097376"/>
      </c:scatterChart>
      <c:valAx>
        <c:axId val="1679753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Store Size (Sq. Ft.)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79097376"/>
        <c:crosses val="autoZero"/>
        <c:crossBetween val="midCat"/>
      </c:valAx>
      <c:valAx>
        <c:axId val="16790973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Monthly sales (INR)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7975302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CCD!$J$25:$J$77</c:f>
              <c:numCache>
                <c:formatCode>General</c:formatCode>
                <c:ptCount val="53"/>
                <c:pt idx="0">
                  <c:v>0.94339622641509435</c:v>
                </c:pt>
                <c:pt idx="1">
                  <c:v>2.8301886792452828</c:v>
                </c:pt>
                <c:pt idx="2">
                  <c:v>4.716981132075472</c:v>
                </c:pt>
                <c:pt idx="3">
                  <c:v>6.6037735849056602</c:v>
                </c:pt>
                <c:pt idx="4">
                  <c:v>8.4905660377358494</c:v>
                </c:pt>
                <c:pt idx="5">
                  <c:v>10.377358490566039</c:v>
                </c:pt>
                <c:pt idx="6">
                  <c:v>12.264150943396226</c:v>
                </c:pt>
                <c:pt idx="7">
                  <c:v>14.150943396226415</c:v>
                </c:pt>
                <c:pt idx="8">
                  <c:v>16.037735849056602</c:v>
                </c:pt>
                <c:pt idx="9">
                  <c:v>17.924528301886792</c:v>
                </c:pt>
                <c:pt idx="10">
                  <c:v>19.811320754716981</c:v>
                </c:pt>
                <c:pt idx="11">
                  <c:v>21.69811320754717</c:v>
                </c:pt>
                <c:pt idx="12">
                  <c:v>23.584905660377355</c:v>
                </c:pt>
                <c:pt idx="13">
                  <c:v>25.471698113207545</c:v>
                </c:pt>
                <c:pt idx="14">
                  <c:v>27.358490566037734</c:v>
                </c:pt>
                <c:pt idx="15">
                  <c:v>29.245283018867923</c:v>
                </c:pt>
                <c:pt idx="16">
                  <c:v>31.132075471698112</c:v>
                </c:pt>
                <c:pt idx="17">
                  <c:v>33.018867924528301</c:v>
                </c:pt>
                <c:pt idx="18">
                  <c:v>34.905660377358494</c:v>
                </c:pt>
                <c:pt idx="19">
                  <c:v>36.79245283018868</c:v>
                </c:pt>
                <c:pt idx="20">
                  <c:v>38.679245283018872</c:v>
                </c:pt>
                <c:pt idx="21">
                  <c:v>40.566037735849058</c:v>
                </c:pt>
                <c:pt idx="22">
                  <c:v>42.452830188679251</c:v>
                </c:pt>
                <c:pt idx="23">
                  <c:v>44.339622641509436</c:v>
                </c:pt>
                <c:pt idx="24">
                  <c:v>46.226415094339622</c:v>
                </c:pt>
                <c:pt idx="25">
                  <c:v>48.113207547169814</c:v>
                </c:pt>
                <c:pt idx="26">
                  <c:v>50</c:v>
                </c:pt>
                <c:pt idx="27">
                  <c:v>51.886792452830193</c:v>
                </c:pt>
                <c:pt idx="28">
                  <c:v>53.773584905660378</c:v>
                </c:pt>
                <c:pt idx="29">
                  <c:v>55.660377358490571</c:v>
                </c:pt>
                <c:pt idx="30">
                  <c:v>57.547169811320757</c:v>
                </c:pt>
                <c:pt idx="31">
                  <c:v>59.433962264150949</c:v>
                </c:pt>
                <c:pt idx="32">
                  <c:v>61.320754716981135</c:v>
                </c:pt>
                <c:pt idx="33">
                  <c:v>63.20754716981132</c:v>
                </c:pt>
                <c:pt idx="34">
                  <c:v>65.094339622641499</c:v>
                </c:pt>
                <c:pt idx="35">
                  <c:v>66.981132075471692</c:v>
                </c:pt>
                <c:pt idx="36">
                  <c:v>68.867924528301884</c:v>
                </c:pt>
                <c:pt idx="37">
                  <c:v>70.754716981132077</c:v>
                </c:pt>
                <c:pt idx="38">
                  <c:v>72.641509433962256</c:v>
                </c:pt>
                <c:pt idx="39">
                  <c:v>74.528301886792448</c:v>
                </c:pt>
                <c:pt idx="40">
                  <c:v>76.415094339622641</c:v>
                </c:pt>
                <c:pt idx="41">
                  <c:v>78.301886792452819</c:v>
                </c:pt>
                <c:pt idx="42">
                  <c:v>80.188679245283012</c:v>
                </c:pt>
                <c:pt idx="43">
                  <c:v>82.075471698113205</c:v>
                </c:pt>
                <c:pt idx="44">
                  <c:v>83.962264150943398</c:v>
                </c:pt>
                <c:pt idx="45">
                  <c:v>85.849056603773576</c:v>
                </c:pt>
                <c:pt idx="46">
                  <c:v>87.735849056603769</c:v>
                </c:pt>
                <c:pt idx="47">
                  <c:v>89.622641509433961</c:v>
                </c:pt>
                <c:pt idx="48">
                  <c:v>91.50943396226414</c:v>
                </c:pt>
                <c:pt idx="49">
                  <c:v>93.396226415094333</c:v>
                </c:pt>
                <c:pt idx="50">
                  <c:v>95.283018867924525</c:v>
                </c:pt>
                <c:pt idx="51">
                  <c:v>97.169811320754718</c:v>
                </c:pt>
                <c:pt idx="52">
                  <c:v>99.056603773584897</c:v>
                </c:pt>
              </c:numCache>
            </c:numRef>
          </c:xVal>
          <c:yVal>
            <c:numRef>
              <c:f>CCD!$K$25:$K$77</c:f>
              <c:numCache>
                <c:formatCode>General</c:formatCode>
                <c:ptCount val="53"/>
                <c:pt idx="0">
                  <c:v>65000.970542154253</c:v>
                </c:pt>
                <c:pt idx="1">
                  <c:v>66358.878915845227</c:v>
                </c:pt>
                <c:pt idx="2">
                  <c:v>70386.222660800791</c:v>
                </c:pt>
                <c:pt idx="3">
                  <c:v>74857.245127908333</c:v>
                </c:pt>
                <c:pt idx="4">
                  <c:v>76071.958515216058</c:v>
                </c:pt>
                <c:pt idx="5">
                  <c:v>78088.649137086919</c:v>
                </c:pt>
                <c:pt idx="6">
                  <c:v>79636.820839566091</c:v>
                </c:pt>
                <c:pt idx="7">
                  <c:v>80845.864356240651</c:v>
                </c:pt>
                <c:pt idx="8">
                  <c:v>82160.035664465919</c:v>
                </c:pt>
                <c:pt idx="9">
                  <c:v>82461.922709601786</c:v>
                </c:pt>
                <c:pt idx="10">
                  <c:v>83249.085576347818</c:v>
                </c:pt>
                <c:pt idx="11">
                  <c:v>84135.232747497503</c:v>
                </c:pt>
                <c:pt idx="12">
                  <c:v>84246.435045515565</c:v>
                </c:pt>
                <c:pt idx="13">
                  <c:v>84409.966095959404</c:v>
                </c:pt>
                <c:pt idx="14">
                  <c:v>85566.175605972181</c:v>
                </c:pt>
                <c:pt idx="15">
                  <c:v>86072.7409791182</c:v>
                </c:pt>
                <c:pt idx="16">
                  <c:v>86319.983213766827</c:v>
                </c:pt>
                <c:pt idx="17">
                  <c:v>86455.95310303173</c:v>
                </c:pt>
                <c:pt idx="18">
                  <c:v>86678.246272271237</c:v>
                </c:pt>
                <c:pt idx="19">
                  <c:v>86827.992166373384</c:v>
                </c:pt>
                <c:pt idx="20">
                  <c:v>87179.267635077573</c:v>
                </c:pt>
                <c:pt idx="21">
                  <c:v>88207.768464187946</c:v>
                </c:pt>
                <c:pt idx="22">
                  <c:v>88877.278171413534</c:v>
                </c:pt>
                <c:pt idx="23">
                  <c:v>89251.352074042021</c:v>
                </c:pt>
                <c:pt idx="24">
                  <c:v>89266.162087506222</c:v>
                </c:pt>
                <c:pt idx="25">
                  <c:v>89503.541836705612</c:v>
                </c:pt>
                <c:pt idx="26">
                  <c:v>91825.656989527313</c:v>
                </c:pt>
                <c:pt idx="27">
                  <c:v>92181.96137448246</c:v>
                </c:pt>
                <c:pt idx="28">
                  <c:v>92197.313851479033</c:v>
                </c:pt>
                <c:pt idx="29">
                  <c:v>92284.686926941562</c:v>
                </c:pt>
                <c:pt idx="30">
                  <c:v>93023.648021205212</c:v>
                </c:pt>
                <c:pt idx="31">
                  <c:v>93031.257393572436</c:v>
                </c:pt>
                <c:pt idx="32">
                  <c:v>93214.219610528802</c:v>
                </c:pt>
                <c:pt idx="33">
                  <c:v>93277.782538346873</c:v>
                </c:pt>
                <c:pt idx="34">
                  <c:v>93415.355986644485</c:v>
                </c:pt>
                <c:pt idx="35">
                  <c:v>93508.235694055358</c:v>
                </c:pt>
                <c:pt idx="36">
                  <c:v>93833.401124665892</c:v>
                </c:pt>
                <c:pt idx="37">
                  <c:v>94148.1346752057</c:v>
                </c:pt>
                <c:pt idx="38">
                  <c:v>94259.702813201933</c:v>
                </c:pt>
                <c:pt idx="39">
                  <c:v>95469.507604613289</c:v>
                </c:pt>
                <c:pt idx="40">
                  <c:v>96170.527824835226</c:v>
                </c:pt>
                <c:pt idx="41">
                  <c:v>98195.828743471095</c:v>
                </c:pt>
                <c:pt idx="42">
                  <c:v>98869.330557341003</c:v>
                </c:pt>
                <c:pt idx="43">
                  <c:v>99012.665853149185</c:v>
                </c:pt>
                <c:pt idx="44">
                  <c:v>99545.891775322147</c:v>
                </c:pt>
                <c:pt idx="45">
                  <c:v>100223.57400594893</c:v>
                </c:pt>
                <c:pt idx="46">
                  <c:v>100539.43183372376</c:v>
                </c:pt>
                <c:pt idx="47">
                  <c:v>101532.45569405876</c:v>
                </c:pt>
                <c:pt idx="48">
                  <c:v>101596.35147265064</c:v>
                </c:pt>
                <c:pt idx="49">
                  <c:v>102378.96662364239</c:v>
                </c:pt>
                <c:pt idx="50">
                  <c:v>104255.44959361422</c:v>
                </c:pt>
                <c:pt idx="51">
                  <c:v>104371.30670669769</c:v>
                </c:pt>
                <c:pt idx="52">
                  <c:v>107646.16362203176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25-3840-899C-2535714F4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8353695"/>
        <c:axId val="268373295"/>
      </c:scatterChart>
      <c:valAx>
        <c:axId val="2683536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68373295"/>
        <c:crosses val="autoZero"/>
        <c:crossBetween val="midCat"/>
      </c:valAx>
      <c:valAx>
        <c:axId val="26837329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Monthly sales (INR)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68353695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444500</xdr:colOff>
      <xdr:row>2</xdr:row>
      <xdr:rowOff>50800</xdr:rowOff>
    </xdr:from>
    <xdr:to>
      <xdr:col>19</xdr:col>
      <xdr:colOff>444500</xdr:colOff>
      <xdr:row>12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50772A-8C87-B044-9135-136D58E67D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483219</xdr:colOff>
      <xdr:row>14</xdr:row>
      <xdr:rowOff>148683</xdr:rowOff>
    </xdr:from>
    <xdr:to>
      <xdr:col>19</xdr:col>
      <xdr:colOff>483219</xdr:colOff>
      <xdr:row>24</xdr:row>
      <xdr:rowOff>135982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C61EEE-82B1-3240-8EF6-615F243526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537427</xdr:colOff>
      <xdr:row>27</xdr:row>
      <xdr:rowOff>86732</xdr:rowOff>
    </xdr:from>
    <xdr:to>
      <xdr:col>19</xdr:col>
      <xdr:colOff>537427</xdr:colOff>
      <xdr:row>37</xdr:row>
      <xdr:rowOff>105007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79BF0F8-6A53-C640-B9A6-BD63E4209F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7"/>
  <sheetViews>
    <sheetView tabSelected="1" zoomScale="89" workbookViewId="0">
      <selection activeCell="C11" sqref="C11"/>
    </sheetView>
  </sheetViews>
  <sheetFormatPr baseColWidth="10" defaultColWidth="8.83203125" defaultRowHeight="15" x14ac:dyDescent="0.2"/>
  <cols>
    <col min="1" max="1" width="14.33203125" bestFit="1" customWidth="1"/>
    <col min="2" max="2" width="15.5" bestFit="1" customWidth="1"/>
    <col min="5" max="5" width="17.5" bestFit="1" customWidth="1"/>
    <col min="6" max="6" width="24.33203125" bestFit="1" customWidth="1"/>
    <col min="7" max="7" width="13.1640625" bestFit="1" customWidth="1"/>
    <col min="8" max="8" width="16.6640625" bestFit="1" customWidth="1"/>
    <col min="9" max="9" width="12.1640625" bestFit="1" customWidth="1"/>
    <col min="10" max="10" width="17.6640625" bestFit="1" customWidth="1"/>
    <col min="11" max="11" width="16.33203125" bestFit="1" customWidth="1"/>
    <col min="12" max="13" width="12.1640625" bestFit="1" customWidth="1"/>
  </cols>
  <sheetData>
    <row r="1" spans="1:13" x14ac:dyDescent="0.2">
      <c r="A1" t="s">
        <v>0</v>
      </c>
      <c r="B1" t="s">
        <v>1</v>
      </c>
      <c r="E1" t="s">
        <v>2</v>
      </c>
    </row>
    <row r="2" spans="1:13" ht="16" thickBot="1" x14ac:dyDescent="0.25">
      <c r="A2">
        <v>134.6</v>
      </c>
      <c r="B2">
        <v>65000.970542154253</v>
      </c>
    </row>
    <row r="3" spans="1:13" x14ac:dyDescent="0.2">
      <c r="A3">
        <v>137.19999999999999</v>
      </c>
      <c r="B3">
        <v>74857.245127908333</v>
      </c>
      <c r="E3" s="4" t="s">
        <v>3</v>
      </c>
      <c r="F3" s="4"/>
    </row>
    <row r="4" spans="1:13" x14ac:dyDescent="0.2">
      <c r="A4">
        <v>142.80000000000001</v>
      </c>
      <c r="B4">
        <v>76071.958515216058</v>
      </c>
      <c r="E4" s="1" t="s">
        <v>4</v>
      </c>
      <c r="F4" s="1">
        <v>0.81010651644431697</v>
      </c>
    </row>
    <row r="5" spans="1:13" x14ac:dyDescent="0.2">
      <c r="A5">
        <v>145.80000000000001</v>
      </c>
      <c r="B5">
        <v>66358.878915845227</v>
      </c>
      <c r="E5" s="1" t="s">
        <v>5</v>
      </c>
      <c r="F5" s="1">
        <v>0.65627256798554645</v>
      </c>
    </row>
    <row r="6" spans="1:13" x14ac:dyDescent="0.2">
      <c r="A6">
        <v>146.80000000000001</v>
      </c>
      <c r="B6">
        <v>70386.222660800791</v>
      </c>
      <c r="E6" s="1" t="s">
        <v>6</v>
      </c>
      <c r="F6" s="1">
        <v>0.64953281441663557</v>
      </c>
    </row>
    <row r="7" spans="1:13" x14ac:dyDescent="0.2">
      <c r="A7">
        <v>153.4</v>
      </c>
      <c r="B7">
        <v>78088.649137086919</v>
      </c>
      <c r="E7" s="1" t="s">
        <v>34</v>
      </c>
      <c r="F7" s="1">
        <v>5542.3107800004145</v>
      </c>
    </row>
    <row r="8" spans="1:13" ht="16" thickBot="1" x14ac:dyDescent="0.25">
      <c r="A8">
        <v>153.6</v>
      </c>
      <c r="B8">
        <v>88207.768464187946</v>
      </c>
      <c r="E8" s="2" t="s">
        <v>8</v>
      </c>
      <c r="F8" s="2">
        <v>53</v>
      </c>
    </row>
    <row r="9" spans="1:13" x14ac:dyDescent="0.2">
      <c r="A9">
        <v>158.6</v>
      </c>
      <c r="B9">
        <v>80845.864356240651</v>
      </c>
    </row>
    <row r="10" spans="1:13" ht="16" thickBot="1" x14ac:dyDescent="0.25">
      <c r="A10">
        <v>158.80000000000001</v>
      </c>
      <c r="B10">
        <v>91825.656989527313</v>
      </c>
      <c r="E10" t="s">
        <v>9</v>
      </c>
    </row>
    <row r="11" spans="1:13" x14ac:dyDescent="0.2">
      <c r="A11">
        <v>159</v>
      </c>
      <c r="B11">
        <v>86678.246272271237</v>
      </c>
      <c r="E11" s="3"/>
      <c r="F11" s="3" t="s">
        <v>14</v>
      </c>
      <c r="G11" s="3" t="s">
        <v>15</v>
      </c>
      <c r="H11" s="3" t="s">
        <v>16</v>
      </c>
      <c r="I11" s="3" t="s">
        <v>17</v>
      </c>
      <c r="J11" s="3" t="s">
        <v>18</v>
      </c>
    </row>
    <row r="12" spans="1:13" x14ac:dyDescent="0.2">
      <c r="A12">
        <v>161.19999999999999</v>
      </c>
      <c r="B12">
        <v>87179.267635077573</v>
      </c>
      <c r="E12" s="1" t="s">
        <v>10</v>
      </c>
      <c r="F12" s="1">
        <v>1</v>
      </c>
      <c r="G12" s="1">
        <v>2991038364.0392365</v>
      </c>
      <c r="H12" s="1">
        <v>2991038364.0392365</v>
      </c>
      <c r="I12" s="1">
        <v>97.373377420326122</v>
      </c>
      <c r="J12" s="1">
        <v>2.0265220976426185E-13</v>
      </c>
    </row>
    <row r="13" spans="1:13" x14ac:dyDescent="0.2">
      <c r="A13">
        <v>166.4</v>
      </c>
      <c r="B13">
        <v>84409.966095959404</v>
      </c>
      <c r="E13" s="1" t="s">
        <v>11</v>
      </c>
      <c r="F13" s="1">
        <v>51</v>
      </c>
      <c r="G13" s="1">
        <v>1566577647.8875489</v>
      </c>
      <c r="H13" s="1">
        <v>30717208.782108802</v>
      </c>
      <c r="I13" s="1"/>
      <c r="J13" s="1"/>
    </row>
    <row r="14" spans="1:13" ht="16" thickBot="1" x14ac:dyDescent="0.25">
      <c r="A14">
        <v>166.8</v>
      </c>
      <c r="B14">
        <v>82461.922709601786</v>
      </c>
      <c r="E14" s="2" t="s">
        <v>12</v>
      </c>
      <c r="F14" s="2">
        <v>52</v>
      </c>
      <c r="G14" s="2">
        <v>4557616011.9267855</v>
      </c>
      <c r="H14" s="2"/>
      <c r="I14" s="2"/>
      <c r="J14" s="2"/>
    </row>
    <row r="15" spans="1:13" ht="16" thickBot="1" x14ac:dyDescent="0.25">
      <c r="A15">
        <v>167.4</v>
      </c>
      <c r="B15">
        <v>83249.085576347818</v>
      </c>
    </row>
    <row r="16" spans="1:13" x14ac:dyDescent="0.2">
      <c r="A16">
        <v>169.8</v>
      </c>
      <c r="B16">
        <v>89503.541836705612</v>
      </c>
      <c r="E16" s="3"/>
      <c r="F16" s="3" t="s">
        <v>19</v>
      </c>
      <c r="G16" s="3" t="s">
        <v>7</v>
      </c>
      <c r="H16" s="3" t="s">
        <v>20</v>
      </c>
      <c r="I16" s="3" t="s">
        <v>21</v>
      </c>
      <c r="J16" s="3" t="s">
        <v>22</v>
      </c>
      <c r="K16" s="3" t="s">
        <v>23</v>
      </c>
      <c r="L16" s="3" t="s">
        <v>24</v>
      </c>
      <c r="M16" s="3" t="s">
        <v>25</v>
      </c>
    </row>
    <row r="17" spans="1:13" x14ac:dyDescent="0.2">
      <c r="A17">
        <v>171</v>
      </c>
      <c r="B17">
        <v>86319.983213766827</v>
      </c>
      <c r="E17" s="1" t="s">
        <v>13</v>
      </c>
      <c r="F17" s="1">
        <v>32249.334469104993</v>
      </c>
      <c r="G17" s="1">
        <v>5886.8140100444598</v>
      </c>
      <c r="H17" s="1">
        <v>5.4782322686055833</v>
      </c>
      <c r="I17" s="1">
        <v>1.3299453693529098E-6</v>
      </c>
      <c r="J17" s="1">
        <v>20431.062203671856</v>
      </c>
      <c r="K17" s="1">
        <v>44067.606734538131</v>
      </c>
      <c r="L17" s="1">
        <v>20431.062203671856</v>
      </c>
      <c r="M17" s="1">
        <v>44067.606734538131</v>
      </c>
    </row>
    <row r="18" spans="1:13" ht="16" thickBot="1" x14ac:dyDescent="0.25">
      <c r="A18">
        <v>171.8</v>
      </c>
      <c r="B18">
        <v>84246.435045515565</v>
      </c>
      <c r="E18" s="2" t="s">
        <v>0</v>
      </c>
      <c r="F18" s="2">
        <v>311.08969507541224</v>
      </c>
      <c r="G18" s="2">
        <v>31.525755881654078</v>
      </c>
      <c r="H18" s="2">
        <v>9.8677949624182055</v>
      </c>
      <c r="I18" s="2">
        <v>2.0265220976426185E-13</v>
      </c>
      <c r="J18" s="2">
        <v>247.79909922046454</v>
      </c>
      <c r="K18" s="2">
        <v>374.38029093035993</v>
      </c>
      <c r="L18" s="2">
        <v>247.79909922046454</v>
      </c>
      <c r="M18" s="2">
        <v>374.38029093035993</v>
      </c>
    </row>
    <row r="19" spans="1:13" x14ac:dyDescent="0.2">
      <c r="A19">
        <v>173.6</v>
      </c>
      <c r="B19">
        <v>93415.355986644485</v>
      </c>
      <c r="E19" s="1" t="s">
        <v>33</v>
      </c>
      <c r="H19">
        <f>(500-F18)/G18</f>
        <v>5.9922529893889447</v>
      </c>
      <c r="I19">
        <f>_xlfn.T.DIST.RT(H19,F14-2)</f>
        <v>1.1252233786077238E-7</v>
      </c>
    </row>
    <row r="20" spans="1:13" x14ac:dyDescent="0.2">
      <c r="A20">
        <v>176.4</v>
      </c>
      <c r="B20">
        <v>84135.232747497503</v>
      </c>
    </row>
    <row r="21" spans="1:13" x14ac:dyDescent="0.2">
      <c r="A21">
        <v>176.6</v>
      </c>
      <c r="B21">
        <v>98869.330557341003</v>
      </c>
    </row>
    <row r="22" spans="1:13" x14ac:dyDescent="0.2">
      <c r="A22">
        <v>177.4</v>
      </c>
      <c r="B22">
        <v>93023.648021205212</v>
      </c>
      <c r="E22" t="s">
        <v>26</v>
      </c>
      <c r="J22" t="s">
        <v>31</v>
      </c>
    </row>
    <row r="23" spans="1:13" ht="16" thickBot="1" x14ac:dyDescent="0.25">
      <c r="A23">
        <v>182.2</v>
      </c>
      <c r="B23">
        <v>86827.992166373384</v>
      </c>
    </row>
    <row r="24" spans="1:13" x14ac:dyDescent="0.2">
      <c r="A24">
        <v>182.2</v>
      </c>
      <c r="B24">
        <v>82160.035664465919</v>
      </c>
      <c r="E24" s="3" t="s">
        <v>27</v>
      </c>
      <c r="F24" s="3" t="s">
        <v>28</v>
      </c>
      <c r="G24" s="3" t="s">
        <v>29</v>
      </c>
      <c r="H24" s="3" t="s">
        <v>30</v>
      </c>
      <c r="J24" s="3" t="s">
        <v>32</v>
      </c>
      <c r="K24" s="3" t="s">
        <v>1</v>
      </c>
    </row>
    <row r="25" spans="1:13" x14ac:dyDescent="0.2">
      <c r="A25">
        <v>184.2</v>
      </c>
      <c r="B25">
        <v>79636.820839566091</v>
      </c>
      <c r="E25" s="1">
        <v>1</v>
      </c>
      <c r="F25" s="1">
        <v>74122.00742625547</v>
      </c>
      <c r="G25" s="1">
        <v>-9121.0368841012169</v>
      </c>
      <c r="H25" s="1">
        <v>-1.6617661987311252</v>
      </c>
      <c r="J25" s="1">
        <v>0.94339622641509435</v>
      </c>
      <c r="K25" s="1">
        <v>65000.970542154253</v>
      </c>
    </row>
    <row r="26" spans="1:13" x14ac:dyDescent="0.2">
      <c r="A26">
        <v>185</v>
      </c>
      <c r="B26">
        <v>85566.175605972181</v>
      </c>
      <c r="E26" s="1">
        <v>2</v>
      </c>
      <c r="F26" s="1">
        <v>74930.840633451546</v>
      </c>
      <c r="G26" s="1">
        <v>-73.595505543213221</v>
      </c>
      <c r="H26" s="1">
        <v>-1.3408401374126461E-2</v>
      </c>
      <c r="J26" s="1">
        <v>2.8301886792452828</v>
      </c>
      <c r="K26" s="1">
        <v>66358.878915845227</v>
      </c>
    </row>
    <row r="27" spans="1:13" x14ac:dyDescent="0.2">
      <c r="A27">
        <v>187.6</v>
      </c>
      <c r="B27">
        <v>86455.95310303173</v>
      </c>
      <c r="E27" s="1">
        <v>3</v>
      </c>
      <c r="F27" s="1">
        <v>76672.942925873867</v>
      </c>
      <c r="G27" s="1">
        <v>-600.98441065780935</v>
      </c>
      <c r="H27" s="1">
        <v>-0.10949364554553102</v>
      </c>
      <c r="J27" s="1">
        <v>4.716981132075472</v>
      </c>
      <c r="K27" s="1">
        <v>70386.222660800791</v>
      </c>
    </row>
    <row r="28" spans="1:13" x14ac:dyDescent="0.2">
      <c r="A28">
        <v>187.8</v>
      </c>
      <c r="B28">
        <v>93508.235694055358</v>
      </c>
      <c r="E28" s="1">
        <v>4</v>
      </c>
      <c r="F28" s="1">
        <v>77606.212011100099</v>
      </c>
      <c r="G28" s="1">
        <v>-11247.333095254871</v>
      </c>
      <c r="H28" s="1">
        <v>-2.0491571518742098</v>
      </c>
      <c r="J28" s="1">
        <v>6.6037735849056602</v>
      </c>
      <c r="K28" s="1">
        <v>74857.245127908333</v>
      </c>
    </row>
    <row r="29" spans="1:13" x14ac:dyDescent="0.2">
      <c r="A29">
        <v>190.4</v>
      </c>
      <c r="B29">
        <v>86072.7409791182</v>
      </c>
      <c r="E29" s="1">
        <v>5</v>
      </c>
      <c r="F29" s="1">
        <v>77917.301706175524</v>
      </c>
      <c r="G29" s="1">
        <v>-7531.0790453747322</v>
      </c>
      <c r="H29" s="1">
        <v>-1.3720909976135034</v>
      </c>
      <c r="J29" s="1">
        <v>8.4905660377358494</v>
      </c>
      <c r="K29" s="1">
        <v>76071.958515216058</v>
      </c>
    </row>
    <row r="30" spans="1:13" x14ac:dyDescent="0.2">
      <c r="A30">
        <v>190.6</v>
      </c>
      <c r="B30">
        <v>92181.96137448246</v>
      </c>
      <c r="E30" s="1">
        <v>6</v>
      </c>
      <c r="F30" s="1">
        <v>79970.493693673227</v>
      </c>
      <c r="G30" s="1">
        <v>-1881.8445565863076</v>
      </c>
      <c r="H30" s="1">
        <v>-0.34285418589330041</v>
      </c>
      <c r="J30" s="1">
        <v>10.377358490566039</v>
      </c>
      <c r="K30" s="1">
        <v>78088.649137086919</v>
      </c>
    </row>
    <row r="31" spans="1:13" x14ac:dyDescent="0.2">
      <c r="A31">
        <v>191</v>
      </c>
      <c r="B31">
        <v>92284.686926941562</v>
      </c>
      <c r="E31" s="1">
        <v>7</v>
      </c>
      <c r="F31" s="1">
        <v>80032.711632688312</v>
      </c>
      <c r="G31" s="1">
        <v>8175.0568314996344</v>
      </c>
      <c r="H31" s="1">
        <v>1.4894176273940951</v>
      </c>
      <c r="J31" s="1">
        <v>12.264150943396226</v>
      </c>
      <c r="K31" s="1">
        <v>79636.820839566091</v>
      </c>
    </row>
    <row r="32" spans="1:13" x14ac:dyDescent="0.2">
      <c r="A32">
        <v>192</v>
      </c>
      <c r="B32">
        <v>99012.665853149185</v>
      </c>
      <c r="E32" s="1">
        <v>8</v>
      </c>
      <c r="F32" s="1">
        <v>81588.160108065378</v>
      </c>
      <c r="G32" s="1">
        <v>-742.29575182472763</v>
      </c>
      <c r="H32" s="1">
        <v>-0.13523922833753468</v>
      </c>
      <c r="J32" s="1">
        <v>14.150943396226415</v>
      </c>
      <c r="K32" s="1">
        <v>80845.864356240651</v>
      </c>
    </row>
    <row r="33" spans="1:11" x14ac:dyDescent="0.2">
      <c r="A33">
        <v>192.2</v>
      </c>
      <c r="B33">
        <v>93214.219610528802</v>
      </c>
      <c r="E33" s="1">
        <v>9</v>
      </c>
      <c r="F33" s="1">
        <v>81650.378047080463</v>
      </c>
      <c r="G33" s="1">
        <v>10175.27894244685</v>
      </c>
      <c r="H33" s="1">
        <v>1.8538390781746044</v>
      </c>
      <c r="J33" s="1">
        <v>16.037735849056602</v>
      </c>
      <c r="K33" s="1">
        <v>82160.035664465919</v>
      </c>
    </row>
    <row r="34" spans="1:11" x14ac:dyDescent="0.2">
      <c r="A34">
        <v>193.4</v>
      </c>
      <c r="B34">
        <v>93833.401124665892</v>
      </c>
      <c r="E34" s="1">
        <v>10</v>
      </c>
      <c r="F34" s="1">
        <v>81712.595986095548</v>
      </c>
      <c r="G34" s="1">
        <v>4965.650286175689</v>
      </c>
      <c r="H34" s="1">
        <v>0.90469426942783626</v>
      </c>
      <c r="J34" s="1">
        <v>17.924528301886792</v>
      </c>
      <c r="K34" s="1">
        <v>82461.922709601786</v>
      </c>
    </row>
    <row r="35" spans="1:11" x14ac:dyDescent="0.2">
      <c r="A35">
        <v>196.4</v>
      </c>
      <c r="B35">
        <v>89251.352074042021</v>
      </c>
      <c r="E35" s="1">
        <v>11</v>
      </c>
      <c r="F35" s="1">
        <v>82396.993315261439</v>
      </c>
      <c r="G35" s="1">
        <v>4782.2743198161334</v>
      </c>
      <c r="H35" s="1">
        <v>0.87128491187034918</v>
      </c>
      <c r="J35" s="1">
        <v>19.811320754716981</v>
      </c>
      <c r="K35" s="1">
        <v>83249.085576347818</v>
      </c>
    </row>
    <row r="36" spans="1:11" x14ac:dyDescent="0.2">
      <c r="A36">
        <v>196.8</v>
      </c>
      <c r="B36">
        <v>99545.891775322147</v>
      </c>
      <c r="E36" s="1">
        <v>12</v>
      </c>
      <c r="F36" s="1">
        <v>84014.659729653591</v>
      </c>
      <c r="G36" s="1">
        <v>395.30636630581284</v>
      </c>
      <c r="H36" s="1">
        <v>7.2021061422881824E-2</v>
      </c>
      <c r="J36" s="1">
        <v>21.69811320754717</v>
      </c>
      <c r="K36" s="1">
        <v>84135.232747497503</v>
      </c>
    </row>
    <row r="37" spans="1:11" x14ac:dyDescent="0.2">
      <c r="A37">
        <v>199.6</v>
      </c>
      <c r="B37">
        <v>92197.313851479033</v>
      </c>
      <c r="E37" s="1">
        <v>13</v>
      </c>
      <c r="F37" s="1">
        <v>84139.095607683761</v>
      </c>
      <c r="G37" s="1">
        <v>-1677.1728980819753</v>
      </c>
      <c r="H37" s="1">
        <v>-0.30556495570351877</v>
      </c>
      <c r="J37" s="1">
        <v>23.584905660377355</v>
      </c>
      <c r="K37" s="1">
        <v>84246.435045515565</v>
      </c>
    </row>
    <row r="38" spans="1:11" x14ac:dyDescent="0.2">
      <c r="A38">
        <v>200</v>
      </c>
      <c r="B38">
        <v>89266.162087506222</v>
      </c>
      <c r="E38" s="1">
        <v>14</v>
      </c>
      <c r="F38" s="1">
        <v>84325.749424729001</v>
      </c>
      <c r="G38" s="1">
        <v>-1076.6638483811839</v>
      </c>
      <c r="H38" s="1">
        <v>-0.19615791640469044</v>
      </c>
      <c r="J38" s="1">
        <v>25.471698113207545</v>
      </c>
      <c r="K38" s="1">
        <v>84409.966095959404</v>
      </c>
    </row>
    <row r="39" spans="1:11" x14ac:dyDescent="0.2">
      <c r="A39">
        <v>200.2</v>
      </c>
      <c r="B39">
        <v>93277.782538346873</v>
      </c>
      <c r="E39" s="1">
        <v>15</v>
      </c>
      <c r="F39" s="1">
        <v>85072.364692909992</v>
      </c>
      <c r="G39" s="1">
        <v>4431.1771437956195</v>
      </c>
      <c r="H39" s="1">
        <v>0.80731834458260665</v>
      </c>
      <c r="J39" s="1">
        <v>27.358490566037734</v>
      </c>
      <c r="K39" s="1">
        <v>85566.175605972181</v>
      </c>
    </row>
    <row r="40" spans="1:11" x14ac:dyDescent="0.2">
      <c r="A40">
        <v>200.2</v>
      </c>
      <c r="B40">
        <v>101596.35147265064</v>
      </c>
      <c r="E40" s="1">
        <v>16</v>
      </c>
      <c r="F40" s="1">
        <v>85445.672327000488</v>
      </c>
      <c r="G40" s="1">
        <v>874.31088676633954</v>
      </c>
      <c r="H40" s="1">
        <v>0.1592911307423254</v>
      </c>
      <c r="J40" s="1">
        <v>29.245283018867923</v>
      </c>
      <c r="K40" s="1">
        <v>86072.7409791182</v>
      </c>
    </row>
    <row r="41" spans="1:11" x14ac:dyDescent="0.2">
      <c r="A41">
        <v>201.2</v>
      </c>
      <c r="B41">
        <v>95469.507604613289</v>
      </c>
      <c r="E41" s="1">
        <v>17</v>
      </c>
      <c r="F41" s="1">
        <v>85694.544083060813</v>
      </c>
      <c r="G41" s="1">
        <v>-1448.1090375452477</v>
      </c>
      <c r="H41" s="1">
        <v>-0.26383169822110442</v>
      </c>
      <c r="J41" s="1">
        <v>31.132075471698112</v>
      </c>
      <c r="K41" s="1">
        <v>86319.983213766827</v>
      </c>
    </row>
    <row r="42" spans="1:11" x14ac:dyDescent="0.2">
      <c r="A42">
        <v>201.6</v>
      </c>
      <c r="B42">
        <v>96170.527824835226</v>
      </c>
      <c r="E42" s="1">
        <v>18</v>
      </c>
      <c r="F42" s="1">
        <v>86254.505534196564</v>
      </c>
      <c r="G42" s="1">
        <v>7160.8504524479213</v>
      </c>
      <c r="H42" s="1">
        <v>1.3046388680642889</v>
      </c>
      <c r="J42" s="1">
        <v>33.018867924528301</v>
      </c>
      <c r="K42" s="1">
        <v>86455.95310303173</v>
      </c>
    </row>
    <row r="43" spans="1:11" x14ac:dyDescent="0.2">
      <c r="A43">
        <v>202.6</v>
      </c>
      <c r="B43">
        <v>104371.30670669769</v>
      </c>
      <c r="E43" s="1">
        <v>19</v>
      </c>
      <c r="F43" s="1">
        <v>87125.556680407724</v>
      </c>
      <c r="G43" s="1">
        <v>-2990.3239329102216</v>
      </c>
      <c r="H43" s="1">
        <v>-0.54480858899153461</v>
      </c>
      <c r="J43" s="1">
        <v>34.905660377358494</v>
      </c>
      <c r="K43" s="1">
        <v>86678.246272271237</v>
      </c>
    </row>
    <row r="44" spans="1:11" x14ac:dyDescent="0.2">
      <c r="A44">
        <v>206.2</v>
      </c>
      <c r="B44">
        <v>101532.45569405876</v>
      </c>
      <c r="E44" s="1">
        <v>20</v>
      </c>
      <c r="F44" s="1">
        <v>87187.774619422795</v>
      </c>
      <c r="G44" s="1">
        <v>11681.555937918209</v>
      </c>
      <c r="H44" s="1">
        <v>2.1282684252769797</v>
      </c>
      <c r="J44" s="1">
        <v>36.79245283018868</v>
      </c>
      <c r="K44" s="1">
        <v>86827.992166373384</v>
      </c>
    </row>
    <row r="45" spans="1:11" x14ac:dyDescent="0.2">
      <c r="A45">
        <v>207.4</v>
      </c>
      <c r="B45">
        <v>93031.257393572436</v>
      </c>
      <c r="E45" s="1">
        <v>21</v>
      </c>
      <c r="F45" s="1">
        <v>87436.646375483135</v>
      </c>
      <c r="G45" s="1">
        <v>5587.0016457220772</v>
      </c>
      <c r="H45" s="1">
        <v>1.0178985794147446</v>
      </c>
      <c r="J45" s="1">
        <v>38.679245283018872</v>
      </c>
      <c r="K45" s="1">
        <v>87179.267635077573</v>
      </c>
    </row>
    <row r="46" spans="1:11" x14ac:dyDescent="0.2">
      <c r="A46">
        <v>209</v>
      </c>
      <c r="B46">
        <v>94259.702813201933</v>
      </c>
      <c r="E46" s="1">
        <v>22</v>
      </c>
      <c r="F46" s="1">
        <v>88929.876911845102</v>
      </c>
      <c r="G46" s="1">
        <v>-2101.8847454717179</v>
      </c>
      <c r="H46" s="1">
        <v>-0.38294341619666178</v>
      </c>
      <c r="J46" s="1">
        <v>40.566037735849058</v>
      </c>
      <c r="K46" s="1">
        <v>88207.768464187946</v>
      </c>
    </row>
    <row r="47" spans="1:11" x14ac:dyDescent="0.2">
      <c r="A47">
        <v>210</v>
      </c>
      <c r="B47">
        <v>100539.43183372376</v>
      </c>
      <c r="E47" s="1">
        <v>23</v>
      </c>
      <c r="F47" s="1">
        <v>88929.876911845102</v>
      </c>
      <c r="G47" s="1">
        <v>-6769.8412473791832</v>
      </c>
      <c r="H47" s="1">
        <v>-1.2334007085619898</v>
      </c>
      <c r="J47" s="1">
        <v>42.452830188679251</v>
      </c>
      <c r="K47" s="1">
        <v>88877.278171413534</v>
      </c>
    </row>
    <row r="48" spans="1:11" x14ac:dyDescent="0.2">
      <c r="A48">
        <v>212.8</v>
      </c>
      <c r="B48">
        <v>94148.1346752057</v>
      </c>
      <c r="E48" s="1">
        <v>24</v>
      </c>
      <c r="F48" s="1">
        <v>89552.056301995923</v>
      </c>
      <c r="G48" s="1">
        <v>-9915.2354624298314</v>
      </c>
      <c r="H48" s="1">
        <v>-1.806461628572801</v>
      </c>
      <c r="J48" s="1">
        <v>44.339622641509436</v>
      </c>
      <c r="K48" s="1">
        <v>89251.352074042021</v>
      </c>
    </row>
    <row r="49" spans="1:11" x14ac:dyDescent="0.2">
      <c r="A49">
        <v>215.2</v>
      </c>
      <c r="B49">
        <v>107646.16362203176</v>
      </c>
      <c r="E49" s="1">
        <v>25</v>
      </c>
      <c r="F49" s="1">
        <v>89800.928058056248</v>
      </c>
      <c r="G49" s="1">
        <v>-4234.752452084067</v>
      </c>
      <c r="H49" s="1">
        <v>-0.77153163333145447</v>
      </c>
      <c r="J49" s="1">
        <v>46.226415094339622</v>
      </c>
      <c r="K49" s="1">
        <v>89266.162087506222</v>
      </c>
    </row>
    <row r="50" spans="1:11" x14ac:dyDescent="0.2">
      <c r="A50">
        <v>216.4</v>
      </c>
      <c r="B50">
        <v>98195.828743471095</v>
      </c>
      <c r="E50" s="1">
        <v>26</v>
      </c>
      <c r="F50" s="1">
        <v>90609.761265252324</v>
      </c>
      <c r="G50" s="1">
        <v>-4153.8081622205937</v>
      </c>
      <c r="H50" s="1">
        <v>-0.7567843533253974</v>
      </c>
      <c r="J50" s="1">
        <v>48.113207547169814</v>
      </c>
      <c r="K50" s="1">
        <v>89503.541836705612</v>
      </c>
    </row>
    <row r="51" spans="1:11" x14ac:dyDescent="0.2">
      <c r="A51">
        <v>218.4</v>
      </c>
      <c r="B51">
        <v>102378.96662364239</v>
      </c>
      <c r="E51" s="1">
        <v>27</v>
      </c>
      <c r="F51" s="1">
        <v>90671.979204267409</v>
      </c>
      <c r="G51" s="1">
        <v>2836.2564897879492</v>
      </c>
      <c r="H51" s="1">
        <v>0.51673896570651145</v>
      </c>
      <c r="J51" s="1">
        <v>50</v>
      </c>
      <c r="K51" s="1">
        <v>91825.656989527313</v>
      </c>
    </row>
    <row r="52" spans="1:11" x14ac:dyDescent="0.2">
      <c r="A52">
        <v>221.6</v>
      </c>
      <c r="B52">
        <v>88877.278171413534</v>
      </c>
      <c r="E52" s="1">
        <v>28</v>
      </c>
      <c r="F52" s="1">
        <v>91480.812411463485</v>
      </c>
      <c r="G52" s="1">
        <v>-5408.0714323452848</v>
      </c>
      <c r="H52" s="1">
        <v>-0.98529919578111491</v>
      </c>
      <c r="J52" s="1">
        <v>51.886792452830193</v>
      </c>
      <c r="K52" s="1">
        <v>92181.96137448246</v>
      </c>
    </row>
    <row r="53" spans="1:11" x14ac:dyDescent="0.2">
      <c r="A53">
        <v>226.8</v>
      </c>
      <c r="B53">
        <v>100223.57400594893</v>
      </c>
      <c r="E53" s="1">
        <v>29</v>
      </c>
      <c r="F53" s="1">
        <v>91543.03035047857</v>
      </c>
      <c r="G53" s="1">
        <v>638.93102400389034</v>
      </c>
      <c r="H53" s="1">
        <v>0.11640715770605668</v>
      </c>
      <c r="J53" s="1">
        <v>53.773584905660378</v>
      </c>
      <c r="K53" s="1">
        <v>92197.313851479033</v>
      </c>
    </row>
    <row r="54" spans="1:11" x14ac:dyDescent="0.2">
      <c r="A54">
        <v>243.6</v>
      </c>
      <c r="B54">
        <v>104255.44959361422</v>
      </c>
      <c r="E54" s="1">
        <v>30</v>
      </c>
      <c r="F54" s="1">
        <v>91667.46622850874</v>
      </c>
      <c r="G54" s="1">
        <v>617.22069843282225</v>
      </c>
      <c r="H54" s="1">
        <v>0.11245174280576883</v>
      </c>
      <c r="J54" s="1">
        <v>55.660377358490571</v>
      </c>
      <c r="K54" s="1">
        <v>92284.686926941562</v>
      </c>
    </row>
    <row r="55" spans="1:11" x14ac:dyDescent="0.2">
      <c r="E55" s="1">
        <v>31</v>
      </c>
      <c r="F55" s="1">
        <v>91978.55592358415</v>
      </c>
      <c r="G55" s="1">
        <v>7034.1099295650347</v>
      </c>
      <c r="H55" s="1">
        <v>1.2815479498263189</v>
      </c>
      <c r="J55" s="1">
        <v>57.547169811320757</v>
      </c>
      <c r="K55" s="1">
        <v>93023.648021205212</v>
      </c>
    </row>
    <row r="56" spans="1:11" x14ac:dyDescent="0.2">
      <c r="E56" s="1">
        <v>32</v>
      </c>
      <c r="F56" s="1">
        <v>92040.773862599221</v>
      </c>
      <c r="G56" s="1">
        <v>1173.4457479295816</v>
      </c>
      <c r="H56" s="1">
        <v>0.21379065831354702</v>
      </c>
      <c r="J56" s="1">
        <v>59.433962264150949</v>
      </c>
      <c r="K56" s="1">
        <v>93031.257393572436</v>
      </c>
    </row>
    <row r="57" spans="1:11" x14ac:dyDescent="0.2">
      <c r="E57" s="1">
        <v>33</v>
      </c>
      <c r="F57" s="1">
        <v>92414.081496689731</v>
      </c>
      <c r="G57" s="1">
        <v>1419.3196279761614</v>
      </c>
      <c r="H57" s="1">
        <v>0.25858654152332528</v>
      </c>
      <c r="J57" s="1">
        <v>61.320754716981135</v>
      </c>
      <c r="K57" s="1">
        <v>93214.219610528802</v>
      </c>
    </row>
    <row r="58" spans="1:11" x14ac:dyDescent="0.2">
      <c r="E58" s="1">
        <v>34</v>
      </c>
      <c r="F58" s="1">
        <v>93347.350581915962</v>
      </c>
      <c r="G58" s="1">
        <v>-4095.998507873941</v>
      </c>
      <c r="H58" s="1">
        <v>-0.74625198394960313</v>
      </c>
      <c r="J58" s="1">
        <v>63.20754716981132</v>
      </c>
      <c r="K58" s="1">
        <v>93277.782538346873</v>
      </c>
    </row>
    <row r="59" spans="1:11" x14ac:dyDescent="0.2">
      <c r="E59" s="1">
        <v>35</v>
      </c>
      <c r="F59" s="1">
        <v>93471.786459946132</v>
      </c>
      <c r="G59" s="1">
        <v>6074.1053153760149</v>
      </c>
      <c r="H59" s="1">
        <v>1.1066442367116418</v>
      </c>
      <c r="J59" s="1">
        <v>65.094339622641499</v>
      </c>
      <c r="K59" s="1">
        <v>93415.355986644485</v>
      </c>
    </row>
    <row r="60" spans="1:11" x14ac:dyDescent="0.2">
      <c r="E60" s="1">
        <v>36</v>
      </c>
      <c r="F60" s="1">
        <v>94342.837606157264</v>
      </c>
      <c r="G60" s="1">
        <v>-2145.52375467823</v>
      </c>
      <c r="H60" s="1">
        <v>-0.3908940287604486</v>
      </c>
      <c r="J60" s="1">
        <v>66.981132075471692</v>
      </c>
      <c r="K60" s="1">
        <v>93508.235694055358</v>
      </c>
    </row>
    <row r="61" spans="1:11" x14ac:dyDescent="0.2">
      <c r="E61" s="1">
        <v>37</v>
      </c>
      <c r="F61" s="1">
        <v>94467.273484187433</v>
      </c>
      <c r="G61" s="1">
        <v>-5201.1113966812118</v>
      </c>
      <c r="H61" s="1">
        <v>-0.94759304503040076</v>
      </c>
      <c r="J61" s="1">
        <v>68.867924528301884</v>
      </c>
      <c r="K61" s="1">
        <v>93833.401124665892</v>
      </c>
    </row>
    <row r="62" spans="1:11" x14ac:dyDescent="0.2">
      <c r="E62" s="1">
        <v>38</v>
      </c>
      <c r="F62" s="1">
        <v>94529.491423202518</v>
      </c>
      <c r="G62" s="1">
        <v>-1251.708884855645</v>
      </c>
      <c r="H62" s="1">
        <v>-0.22804945774643778</v>
      </c>
      <c r="J62" s="1">
        <v>70.754716981132077</v>
      </c>
      <c r="K62" s="1">
        <v>94148.1346752057</v>
      </c>
    </row>
    <row r="63" spans="1:11" x14ac:dyDescent="0.2">
      <c r="E63" s="1">
        <v>39</v>
      </c>
      <c r="F63" s="1">
        <v>94529.491423202518</v>
      </c>
      <c r="G63" s="1">
        <v>7066.8600494481216</v>
      </c>
      <c r="H63" s="1">
        <v>1.2875147102854254</v>
      </c>
      <c r="J63" s="1">
        <v>72.641509433962256</v>
      </c>
      <c r="K63" s="1">
        <v>94259.702813201933</v>
      </c>
    </row>
    <row r="64" spans="1:11" x14ac:dyDescent="0.2">
      <c r="E64" s="1">
        <v>40</v>
      </c>
      <c r="F64" s="1">
        <v>94840.581118277929</v>
      </c>
      <c r="G64" s="1">
        <v>628.9264863353601</v>
      </c>
      <c r="H64" s="1">
        <v>0.11458442606460537</v>
      </c>
      <c r="J64" s="1">
        <v>74.528301886792448</v>
      </c>
      <c r="K64" s="1">
        <v>95469.507604613289</v>
      </c>
    </row>
    <row r="65" spans="5:11" x14ac:dyDescent="0.2">
      <c r="E65" s="1">
        <v>41</v>
      </c>
      <c r="F65" s="1">
        <v>94965.016996308099</v>
      </c>
      <c r="G65" s="1">
        <v>1205.5108285271272</v>
      </c>
      <c r="H65" s="1">
        <v>0.21963261112808619</v>
      </c>
      <c r="J65" s="1">
        <v>76.415094339622641</v>
      </c>
      <c r="K65" s="1">
        <v>96170.527824835226</v>
      </c>
    </row>
    <row r="66" spans="5:11" x14ac:dyDescent="0.2">
      <c r="E66" s="1">
        <v>42</v>
      </c>
      <c r="F66" s="1">
        <v>95276.106691383509</v>
      </c>
      <c r="G66" s="1">
        <v>9095.2000153141853</v>
      </c>
      <c r="H66" s="1">
        <v>1.6570589668914888</v>
      </c>
      <c r="J66" s="1">
        <v>78.301886792452819</v>
      </c>
      <c r="K66" s="1">
        <v>98195.828743471095</v>
      </c>
    </row>
    <row r="67" spans="5:11" x14ac:dyDescent="0.2">
      <c r="E67" s="1">
        <v>43</v>
      </c>
      <c r="F67" s="1">
        <v>96396.029593654996</v>
      </c>
      <c r="G67" s="1">
        <v>5136.4261004037689</v>
      </c>
      <c r="H67" s="1">
        <v>0.93580799906746526</v>
      </c>
      <c r="J67" s="1">
        <v>80.188679245283012</v>
      </c>
      <c r="K67" s="1">
        <v>98869.330557341003</v>
      </c>
    </row>
    <row r="68" spans="5:11" x14ac:dyDescent="0.2">
      <c r="E68" s="1">
        <v>44</v>
      </c>
      <c r="F68" s="1">
        <v>96769.337227745491</v>
      </c>
      <c r="G68" s="1">
        <v>-3738.0798341730551</v>
      </c>
      <c r="H68" s="1">
        <v>-0.68104260464234956</v>
      </c>
      <c r="J68" s="1">
        <v>82.075471698113205</v>
      </c>
      <c r="K68" s="1">
        <v>99012.665853149185</v>
      </c>
    </row>
    <row r="69" spans="5:11" x14ac:dyDescent="0.2">
      <c r="E69" s="1">
        <v>45</v>
      </c>
      <c r="F69" s="1">
        <v>97267.080739866156</v>
      </c>
      <c r="G69" s="1">
        <v>-3007.3779266642232</v>
      </c>
      <c r="H69" s="1">
        <v>-0.5479156645065093</v>
      </c>
      <c r="J69" s="1">
        <v>83.962264150943398</v>
      </c>
      <c r="K69" s="1">
        <v>99545.891775322147</v>
      </c>
    </row>
    <row r="70" spans="5:11" x14ac:dyDescent="0.2">
      <c r="E70" s="1">
        <v>46</v>
      </c>
      <c r="F70" s="1">
        <v>97578.170434941567</v>
      </c>
      <c r="G70" s="1">
        <v>2961.2613987821969</v>
      </c>
      <c r="H70" s="1">
        <v>0.53951367159594732</v>
      </c>
      <c r="J70" s="1">
        <v>85.849056603773576</v>
      </c>
      <c r="K70" s="1">
        <v>100223.57400594893</v>
      </c>
    </row>
    <row r="71" spans="5:11" x14ac:dyDescent="0.2">
      <c r="E71" s="1">
        <v>47</v>
      </c>
      <c r="F71" s="1">
        <v>98449.221581152728</v>
      </c>
      <c r="G71" s="1">
        <v>-4301.0869059470278</v>
      </c>
      <c r="H71" s="1">
        <v>-0.78361714012650996</v>
      </c>
      <c r="J71" s="1">
        <v>87.735849056603769</v>
      </c>
      <c r="K71" s="1">
        <v>100539.43183372376</v>
      </c>
    </row>
    <row r="72" spans="5:11" x14ac:dyDescent="0.2">
      <c r="E72" s="1">
        <v>48</v>
      </c>
      <c r="F72" s="1">
        <v>99195.836849333689</v>
      </c>
      <c r="G72" s="1">
        <v>8450.3267726980703</v>
      </c>
      <c r="H72" s="1">
        <v>1.5395691934520741</v>
      </c>
      <c r="J72" s="1">
        <v>89.622641509433961</v>
      </c>
      <c r="K72" s="1">
        <v>101532.45569405876</v>
      </c>
    </row>
    <row r="73" spans="5:11" x14ac:dyDescent="0.2">
      <c r="E73" s="1">
        <v>49</v>
      </c>
      <c r="F73" s="1">
        <v>99569.144483424199</v>
      </c>
      <c r="G73" s="1">
        <v>-1373.3157399531046</v>
      </c>
      <c r="H73" s="1">
        <v>-0.2502050705241034</v>
      </c>
      <c r="J73" s="1">
        <v>91.50943396226414</v>
      </c>
      <c r="K73" s="1">
        <v>101596.35147265064</v>
      </c>
    </row>
    <row r="74" spans="5:11" x14ac:dyDescent="0.2">
      <c r="E74" s="1">
        <v>50</v>
      </c>
      <c r="F74" s="1">
        <v>100191.32387357502</v>
      </c>
      <c r="G74" s="1">
        <v>2187.6427500673744</v>
      </c>
      <c r="H74" s="1">
        <v>0.39856770925879131</v>
      </c>
      <c r="J74" s="1">
        <v>93.396226415094333</v>
      </c>
      <c r="K74" s="1">
        <v>102378.96662364239</v>
      </c>
    </row>
    <row r="75" spans="5:11" x14ac:dyDescent="0.2">
      <c r="E75" s="1">
        <v>51</v>
      </c>
      <c r="F75" s="1">
        <v>101186.81089781635</v>
      </c>
      <c r="G75" s="1">
        <v>-12309.532726402816</v>
      </c>
      <c r="H75" s="1">
        <v>-2.2426798254227731</v>
      </c>
      <c r="J75" s="1">
        <v>95.283018867924525</v>
      </c>
      <c r="K75" s="1">
        <v>104255.44959361422</v>
      </c>
    </row>
    <row r="76" spans="5:11" x14ac:dyDescent="0.2">
      <c r="E76" s="1">
        <v>52</v>
      </c>
      <c r="F76" s="1">
        <v>102804.4773122085</v>
      </c>
      <c r="G76" s="1">
        <v>-2580.9033062595699</v>
      </c>
      <c r="H76" s="1">
        <v>-0.47021604353025054</v>
      </c>
      <c r="J76" s="1">
        <v>97.169811320754718</v>
      </c>
      <c r="K76" s="1">
        <v>104371.30670669769</v>
      </c>
    </row>
    <row r="77" spans="5:11" ht="16" thickBot="1" x14ac:dyDescent="0.25">
      <c r="E77" s="2">
        <v>53</v>
      </c>
      <c r="F77" s="2">
        <v>108030.78418947541</v>
      </c>
      <c r="G77" s="2">
        <v>-3775.3345958611899</v>
      </c>
      <c r="H77" s="2">
        <v>-0.68783006800882684</v>
      </c>
      <c r="J77" s="2">
        <v>99.056603773584897</v>
      </c>
      <c r="K77" s="2">
        <v>107646.16362203176</v>
      </c>
    </row>
  </sheetData>
  <sortState xmlns:xlrd2="http://schemas.microsoft.com/office/spreadsheetml/2017/richdata2" ref="K25:K77">
    <sortCondition ref="K25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2021-05-15T05:03:55Z</dcterms:modified>
</cp:coreProperties>
</file>