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dks/AMPBA/Term2/SA-II/Session4/"/>
    </mc:Choice>
  </mc:AlternateContent>
  <xr:revisionPtr revIDLastSave="0" documentId="13_ncr:1_{1528C1C4-09D3-A049-962B-FAE047AE02E0}" xr6:coauthVersionLast="47" xr6:coauthVersionMax="47" xr10:uidLastSave="{00000000-0000-0000-0000-000000000000}"/>
  <bookViews>
    <workbookView xWindow="2120" yWindow="6520" windowWidth="35840" windowHeight="21900" activeTab="1" xr2:uid="{00000000-000D-0000-FFFF-FFFF00000000}"/>
  </bookViews>
  <sheets>
    <sheet name="Diamond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9" i="2" l="1"/>
  <c r="J9" i="2"/>
  <c r="I9" i="2"/>
  <c r="I7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25" i="2"/>
  <c r="H5" i="2"/>
  <c r="L12" i="2" l="1"/>
  <c r="L13" i="2"/>
  <c r="L20" i="2"/>
  <c r="K20" i="2"/>
  <c r="L21" i="2"/>
  <c r="K21" i="2"/>
  <c r="K19" i="2"/>
  <c r="J20" i="2"/>
  <c r="J19" i="2"/>
  <c r="M5" i="2"/>
  <c r="H7" i="2"/>
  <c r="H6" i="2"/>
  <c r="I6" i="2"/>
</calcChain>
</file>

<file path=xl/sharedStrings.xml><?xml version="1.0" encoding="utf-8"?>
<sst xmlns="http://schemas.openxmlformats.org/spreadsheetml/2006/main" count="80" uniqueCount="40">
  <si>
    <t>Weight (carats)</t>
  </si>
  <si>
    <t>Price (Singapore dollars)</t>
  </si>
  <si>
    <t>Price (Rs)/Carat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</si>
  <si>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</si>
  <si>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</si>
  <si>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</si>
  <si>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</si>
  <si>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</si>
  <si>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</si>
  <si>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</si>
  <si>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</si>
  <si>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</si>
  <si>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</si>
  <si>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</si>
  <si>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</si>
  <si>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</si>
  <si>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</si>
  <si>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</si>
  <si>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</si>
  <si>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</si>
  <si>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</si>
  <si>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</si>
  <si>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</si>
  <si>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</si>
  <si>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</si>
  <si>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</si>
  <si>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</si>
  <si>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</si>
  <si>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</si>
  <si>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Price (Rs)/Carat</t>
  </si>
  <si>
    <t>Residuals</t>
  </si>
  <si>
    <t>Standard Residuals</t>
  </si>
  <si>
    <t>PROBABILITY OUTPUT</t>
  </si>
  <si>
    <t>Percentile</t>
  </si>
  <si>
    <t>(1-R2)*Total_DF/Residual_DF</t>
  </si>
  <si>
    <t>Sqrt of MS Residual</t>
  </si>
  <si>
    <t>Sqr of Slope (X) Tstat</t>
  </si>
  <si>
    <t>SE/SLOPE-coEF</t>
  </si>
  <si>
    <t>SS Regression/ Total</t>
  </si>
  <si>
    <t>(SS Regression/ Total)^2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</si>
</sst>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Fill="1" applyBorder="1" applyAlignment="1"/>
    <xf numFmtId="164" fontId="0" fillId="0" borderId="1" xfId="0" applyNumberFormat="1" applyFill="1" applyBorder="1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Weight (carats)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Diamonds!$A$2:$A$49</c:f>
              <c:numCache>
                <c:formatCode>General</c:formatCode>
                <c:ptCount val="48"/>
                <c:pt idx="0">
                  <c:v>0.17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0.25</c:v>
                </c:pt>
                <c:pt idx="5">
                  <c:v>0.16</c:v>
                </c:pt>
                <c:pt idx="6">
                  <c:v>0.15</c:v>
                </c:pt>
                <c:pt idx="7">
                  <c:v>0.19</c:v>
                </c:pt>
                <c:pt idx="8">
                  <c:v>0.21</c:v>
                </c:pt>
                <c:pt idx="9">
                  <c:v>0.15</c:v>
                </c:pt>
                <c:pt idx="10">
                  <c:v>0.18</c:v>
                </c:pt>
                <c:pt idx="11">
                  <c:v>0.28000000000000003</c:v>
                </c:pt>
                <c:pt idx="12">
                  <c:v>0.16</c:v>
                </c:pt>
                <c:pt idx="13">
                  <c:v>0.2</c:v>
                </c:pt>
                <c:pt idx="14">
                  <c:v>0.23</c:v>
                </c:pt>
                <c:pt idx="15">
                  <c:v>0.28999999999999998</c:v>
                </c:pt>
                <c:pt idx="16">
                  <c:v>0.12</c:v>
                </c:pt>
                <c:pt idx="17">
                  <c:v>0.26</c:v>
                </c:pt>
                <c:pt idx="18">
                  <c:v>0.25</c:v>
                </c:pt>
                <c:pt idx="19">
                  <c:v>0.27</c:v>
                </c:pt>
                <c:pt idx="20">
                  <c:v>0.18</c:v>
                </c:pt>
                <c:pt idx="21">
                  <c:v>0.16</c:v>
                </c:pt>
                <c:pt idx="22">
                  <c:v>0.17</c:v>
                </c:pt>
                <c:pt idx="23">
                  <c:v>0.16</c:v>
                </c:pt>
                <c:pt idx="24">
                  <c:v>0.17</c:v>
                </c:pt>
                <c:pt idx="25">
                  <c:v>0.18</c:v>
                </c:pt>
                <c:pt idx="26">
                  <c:v>0.17</c:v>
                </c:pt>
                <c:pt idx="27">
                  <c:v>0.18</c:v>
                </c:pt>
                <c:pt idx="28">
                  <c:v>0.17</c:v>
                </c:pt>
                <c:pt idx="29">
                  <c:v>0.15</c:v>
                </c:pt>
                <c:pt idx="30">
                  <c:v>0.17</c:v>
                </c:pt>
                <c:pt idx="31">
                  <c:v>0.32</c:v>
                </c:pt>
                <c:pt idx="32">
                  <c:v>0.32</c:v>
                </c:pt>
                <c:pt idx="33">
                  <c:v>0.15</c:v>
                </c:pt>
                <c:pt idx="34">
                  <c:v>0.16</c:v>
                </c:pt>
                <c:pt idx="35">
                  <c:v>0.16</c:v>
                </c:pt>
                <c:pt idx="36">
                  <c:v>0.23</c:v>
                </c:pt>
                <c:pt idx="37">
                  <c:v>0.23</c:v>
                </c:pt>
                <c:pt idx="38">
                  <c:v>0.17</c:v>
                </c:pt>
                <c:pt idx="39">
                  <c:v>0.33</c:v>
                </c:pt>
                <c:pt idx="40">
                  <c:v>0.25</c:v>
                </c:pt>
                <c:pt idx="41">
                  <c:v>0.35</c:v>
                </c:pt>
                <c:pt idx="42">
                  <c:v>0.18</c:v>
                </c:pt>
                <c:pt idx="43">
                  <c:v>0.25</c:v>
                </c:pt>
                <c:pt idx="44">
                  <c:v>0.25</c:v>
                </c:pt>
                <c:pt idx="45">
                  <c:v>0.15</c:v>
                </c:pt>
                <c:pt idx="46">
                  <c:v>0.26</c:v>
                </c:pt>
                <c:pt idx="47">
                  <c:v>0.15</c:v>
                </c:pt>
              </c:numCache>
            </c:numRef>
          </c:xVal>
          <c:yVal>
            <c:numRef>
              <c:f>Diamonds!$H$25:$H$72</c:f>
              <c:numCache>
                <c:formatCode>General</c:formatCode>
                <c:ptCount val="48"/>
                <c:pt idx="0">
                  <c:v>-1347.6174733589578</c:v>
                </c:pt>
                <c:pt idx="1">
                  <c:v>-1101.1888151033418</c:v>
                </c:pt>
                <c:pt idx="2">
                  <c:v>-1788.793943947192</c:v>
                </c:pt>
                <c:pt idx="3">
                  <c:v>-6407.7716218106361</c:v>
                </c:pt>
                <c:pt idx="4">
                  <c:v>-710.81144528617733</c:v>
                </c:pt>
                <c:pt idx="5">
                  <c:v>211.31118489665823</c:v>
                </c:pt>
                <c:pt idx="6">
                  <c:v>1168.7692549169733</c:v>
                </c:pt>
                <c:pt idx="7">
                  <c:v>3978.4106590462397</c:v>
                </c:pt>
                <c:pt idx="8">
                  <c:v>-1450.9791652049171</c:v>
                </c:pt>
                <c:pt idx="9">
                  <c:v>1268.7692549169733</c:v>
                </c:pt>
                <c:pt idx="10">
                  <c:v>5008.8950448560281</c:v>
                </c:pt>
                <c:pt idx="11">
                  <c:v>2398.6000589385803</c:v>
                </c:pt>
                <c:pt idx="12">
                  <c:v>-351.18881510334177</c:v>
                </c:pt>
                <c:pt idx="13">
                  <c:v>2218.9789048153907</c:v>
                </c:pt>
                <c:pt idx="14">
                  <c:v>1213.4525208414052</c:v>
                </c:pt>
                <c:pt idx="15">
                  <c:v>1972.1148953222219</c:v>
                </c:pt>
                <c:pt idx="16">
                  <c:v>-696.35653502208152</c:v>
                </c:pt>
                <c:pt idx="17">
                  <c:v>-1800.7695153064997</c:v>
                </c:pt>
                <c:pt idx="18">
                  <c:v>5769.1885547138227</c:v>
                </c:pt>
                <c:pt idx="19">
                  <c:v>-870.72758532680746</c:v>
                </c:pt>
                <c:pt idx="20">
                  <c:v>5508.8950448560281</c:v>
                </c:pt>
                <c:pt idx="21">
                  <c:v>492.56118489665823</c:v>
                </c:pt>
                <c:pt idx="22">
                  <c:v>-1612.3233557118983</c:v>
                </c:pt>
                <c:pt idx="23">
                  <c:v>-726.18881510334177</c:v>
                </c:pt>
                <c:pt idx="24">
                  <c:v>-1524.0880615942515</c:v>
                </c:pt>
                <c:pt idx="25">
                  <c:v>3008.8950448560281</c:v>
                </c:pt>
                <c:pt idx="26">
                  <c:v>-4612.3233557118983</c:v>
                </c:pt>
                <c:pt idx="27">
                  <c:v>1425.5617115226996</c:v>
                </c:pt>
                <c:pt idx="28">
                  <c:v>-2141.7351204177794</c:v>
                </c:pt>
                <c:pt idx="29">
                  <c:v>468.7692549169733</c:v>
                </c:pt>
                <c:pt idx="30">
                  <c:v>-1788.793943947192</c:v>
                </c:pt>
                <c:pt idx="31">
                  <c:v>-1939.26793542839</c:v>
                </c:pt>
                <c:pt idx="32">
                  <c:v>-1892.39293542839</c:v>
                </c:pt>
                <c:pt idx="33">
                  <c:v>-1231.2307450830267</c:v>
                </c:pt>
                <c:pt idx="34">
                  <c:v>-69.938815103341767</c:v>
                </c:pt>
                <c:pt idx="35">
                  <c:v>-163.68881510334177</c:v>
                </c:pt>
                <c:pt idx="36">
                  <c:v>1213.4525208414052</c:v>
                </c:pt>
                <c:pt idx="37">
                  <c:v>-1525.6779139412029</c:v>
                </c:pt>
                <c:pt idx="38">
                  <c:v>-2229.9704145354262</c:v>
                </c:pt>
                <c:pt idx="39">
                  <c:v>-2835.9305509032492</c:v>
                </c:pt>
                <c:pt idx="40">
                  <c:v>69.188554713822668</c:v>
                </c:pt>
                <c:pt idx="41">
                  <c:v>-887.53500263218302</c:v>
                </c:pt>
                <c:pt idx="42">
                  <c:v>3425.5617115226996</c:v>
                </c:pt>
                <c:pt idx="43">
                  <c:v>1449.1885547138227</c:v>
                </c:pt>
                <c:pt idx="44">
                  <c:v>1269.1885547138227</c:v>
                </c:pt>
                <c:pt idx="45">
                  <c:v>-2331.2307450830267</c:v>
                </c:pt>
                <c:pt idx="46">
                  <c:v>-70.000284537272819</c:v>
                </c:pt>
                <c:pt idx="47">
                  <c:v>568.7692549169733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7-E447-9028-1A295F501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65535"/>
        <c:axId val="248767215"/>
      </c:scatterChart>
      <c:valAx>
        <c:axId val="248765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Weight (carats)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67215"/>
        <c:crosses val="autoZero"/>
        <c:crossBetween val="midCat"/>
      </c:valAx>
      <c:valAx>
        <c:axId val="248767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655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Weight (carats)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(Rs)/Carat</c:v>
          </c:tx>
          <c:spPr>
            <a:ln w="19050">
              <a:noFill/>
            </a:ln>
          </c:spPr>
          <c:xVal>
            <c:numRef>
              <c:f>Diamonds!$A$2:$A$49</c:f>
              <c:numCache>
                <c:formatCode>General</c:formatCode>
                <c:ptCount val="48"/>
                <c:pt idx="0">
                  <c:v>0.17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0.25</c:v>
                </c:pt>
                <c:pt idx="5">
                  <c:v>0.16</c:v>
                </c:pt>
                <c:pt idx="6">
                  <c:v>0.15</c:v>
                </c:pt>
                <c:pt idx="7">
                  <c:v>0.19</c:v>
                </c:pt>
                <c:pt idx="8">
                  <c:v>0.21</c:v>
                </c:pt>
                <c:pt idx="9">
                  <c:v>0.15</c:v>
                </c:pt>
                <c:pt idx="10">
                  <c:v>0.18</c:v>
                </c:pt>
                <c:pt idx="11">
                  <c:v>0.28000000000000003</c:v>
                </c:pt>
                <c:pt idx="12">
                  <c:v>0.16</c:v>
                </c:pt>
                <c:pt idx="13">
                  <c:v>0.2</c:v>
                </c:pt>
                <c:pt idx="14">
                  <c:v>0.23</c:v>
                </c:pt>
                <c:pt idx="15">
                  <c:v>0.28999999999999998</c:v>
                </c:pt>
                <c:pt idx="16">
                  <c:v>0.12</c:v>
                </c:pt>
                <c:pt idx="17">
                  <c:v>0.26</c:v>
                </c:pt>
                <c:pt idx="18">
                  <c:v>0.25</c:v>
                </c:pt>
                <c:pt idx="19">
                  <c:v>0.27</c:v>
                </c:pt>
                <c:pt idx="20">
                  <c:v>0.18</c:v>
                </c:pt>
                <c:pt idx="21">
                  <c:v>0.16</c:v>
                </c:pt>
                <c:pt idx="22">
                  <c:v>0.17</c:v>
                </c:pt>
                <c:pt idx="23">
                  <c:v>0.16</c:v>
                </c:pt>
                <c:pt idx="24">
                  <c:v>0.17</c:v>
                </c:pt>
                <c:pt idx="25">
                  <c:v>0.18</c:v>
                </c:pt>
                <c:pt idx="26">
                  <c:v>0.17</c:v>
                </c:pt>
                <c:pt idx="27">
                  <c:v>0.18</c:v>
                </c:pt>
                <c:pt idx="28">
                  <c:v>0.17</c:v>
                </c:pt>
                <c:pt idx="29">
                  <c:v>0.15</c:v>
                </c:pt>
                <c:pt idx="30">
                  <c:v>0.17</c:v>
                </c:pt>
                <c:pt idx="31">
                  <c:v>0.32</c:v>
                </c:pt>
                <c:pt idx="32">
                  <c:v>0.32</c:v>
                </c:pt>
                <c:pt idx="33">
                  <c:v>0.15</c:v>
                </c:pt>
                <c:pt idx="34">
                  <c:v>0.16</c:v>
                </c:pt>
                <c:pt idx="35">
                  <c:v>0.16</c:v>
                </c:pt>
                <c:pt idx="36">
                  <c:v>0.23</c:v>
                </c:pt>
                <c:pt idx="37">
                  <c:v>0.23</c:v>
                </c:pt>
                <c:pt idx="38">
                  <c:v>0.17</c:v>
                </c:pt>
                <c:pt idx="39">
                  <c:v>0.33</c:v>
                </c:pt>
                <c:pt idx="40">
                  <c:v>0.25</c:v>
                </c:pt>
                <c:pt idx="41">
                  <c:v>0.35</c:v>
                </c:pt>
                <c:pt idx="42">
                  <c:v>0.18</c:v>
                </c:pt>
                <c:pt idx="43">
                  <c:v>0.25</c:v>
                </c:pt>
                <c:pt idx="44">
                  <c:v>0.25</c:v>
                </c:pt>
                <c:pt idx="45">
                  <c:v>0.15</c:v>
                </c:pt>
                <c:pt idx="46">
                  <c:v>0.26</c:v>
                </c:pt>
                <c:pt idx="47">
                  <c:v>0.15</c:v>
                </c:pt>
              </c:numCache>
            </c:numRef>
          </c:xVal>
          <c:yVal>
            <c:numRef>
              <c:f>Diamonds!$B$2:$B$49</c:f>
              <c:numCache>
                <c:formatCode>General</c:formatCode>
                <c:ptCount val="48"/>
                <c:pt idx="0">
                  <c:v>31323.529411764703</c:v>
                </c:pt>
                <c:pt idx="1">
                  <c:v>30750</c:v>
                </c:pt>
                <c:pt idx="2">
                  <c:v>30882.352941176468</c:v>
                </c:pt>
                <c:pt idx="3">
                  <c:v>27083.333333333336</c:v>
                </c:pt>
                <c:pt idx="4">
                  <c:v>38520</c:v>
                </c:pt>
                <c:pt idx="5">
                  <c:v>32062.5</c:v>
                </c:pt>
                <c:pt idx="6">
                  <c:v>32200</c:v>
                </c:pt>
                <c:pt idx="7">
                  <c:v>38289.473684210527</c:v>
                </c:pt>
                <c:pt idx="8">
                  <c:v>34500</c:v>
                </c:pt>
                <c:pt idx="9">
                  <c:v>32300</c:v>
                </c:pt>
                <c:pt idx="10">
                  <c:v>38500</c:v>
                </c:pt>
                <c:pt idx="11">
                  <c:v>44089.28571428571</c:v>
                </c:pt>
                <c:pt idx="12">
                  <c:v>31500</c:v>
                </c:pt>
                <c:pt idx="13">
                  <c:v>37350</c:v>
                </c:pt>
                <c:pt idx="14">
                  <c:v>38804.347826086952</c:v>
                </c:pt>
                <c:pt idx="15">
                  <c:v>44482.758620689659</c:v>
                </c:pt>
                <c:pt idx="16">
                  <c:v>27875</c:v>
                </c:pt>
                <c:pt idx="17">
                  <c:v>38250</c:v>
                </c:pt>
                <c:pt idx="18">
                  <c:v>45000</c:v>
                </c:pt>
                <c:pt idx="19">
                  <c:v>40000</c:v>
                </c:pt>
                <c:pt idx="20">
                  <c:v>39000</c:v>
                </c:pt>
                <c:pt idx="21">
                  <c:v>32343.75</c:v>
                </c:pt>
                <c:pt idx="22">
                  <c:v>31058.823529411762</c:v>
                </c:pt>
                <c:pt idx="23">
                  <c:v>31125</c:v>
                </c:pt>
                <c:pt idx="24">
                  <c:v>31147.058823529409</c:v>
                </c:pt>
                <c:pt idx="25">
                  <c:v>36500</c:v>
                </c:pt>
                <c:pt idx="26">
                  <c:v>28058.823529411762</c:v>
                </c:pt>
                <c:pt idx="27">
                  <c:v>34916.666666666672</c:v>
                </c:pt>
                <c:pt idx="28">
                  <c:v>30529.411764705881</c:v>
                </c:pt>
                <c:pt idx="29">
                  <c:v>31500</c:v>
                </c:pt>
                <c:pt idx="30">
                  <c:v>30882.352941176468</c:v>
                </c:pt>
                <c:pt idx="31">
                  <c:v>43031.25</c:v>
                </c:pt>
                <c:pt idx="32">
                  <c:v>43078.125</c:v>
                </c:pt>
                <c:pt idx="33">
                  <c:v>29800</c:v>
                </c:pt>
                <c:pt idx="34">
                  <c:v>31781.25</c:v>
                </c:pt>
                <c:pt idx="35">
                  <c:v>31687.5</c:v>
                </c:pt>
                <c:pt idx="36">
                  <c:v>38804.347826086952</c:v>
                </c:pt>
                <c:pt idx="37">
                  <c:v>36065.217391304344</c:v>
                </c:pt>
                <c:pt idx="38">
                  <c:v>30441.176470588234</c:v>
                </c:pt>
                <c:pt idx="39">
                  <c:v>42954.545454545456</c:v>
                </c:pt>
                <c:pt idx="40">
                  <c:v>39300</c:v>
                </c:pt>
                <c:pt idx="41">
                  <c:v>46542.857142857145</c:v>
                </c:pt>
                <c:pt idx="42">
                  <c:v>36916.666666666672</c:v>
                </c:pt>
                <c:pt idx="43">
                  <c:v>40680</c:v>
                </c:pt>
                <c:pt idx="44">
                  <c:v>40500</c:v>
                </c:pt>
                <c:pt idx="45">
                  <c:v>28700</c:v>
                </c:pt>
                <c:pt idx="46">
                  <c:v>39980.769230769227</c:v>
                </c:pt>
                <c:pt idx="47">
                  <c:v>31600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7F-3543-80D0-A516DD0C4C18}"/>
            </c:ext>
          </c:extLst>
        </c:ser>
        <c:ser>
          <c:idx val="1"/>
          <c:order val="1"/>
          <c:tx>
            <c:v>Predicted Price (Rs)/Carat</c:v>
          </c:tx>
          <c:spPr>
            <a:ln w="19050">
              <a:noFill/>
            </a:ln>
          </c:spPr>
          <c:xVal>
            <c:numRef>
              <c:f>Diamonds!$A$2:$A$49</c:f>
              <c:numCache>
                <c:formatCode>General</c:formatCode>
                <c:ptCount val="48"/>
                <c:pt idx="0">
                  <c:v>0.17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0.25</c:v>
                </c:pt>
                <c:pt idx="5">
                  <c:v>0.16</c:v>
                </c:pt>
                <c:pt idx="6">
                  <c:v>0.15</c:v>
                </c:pt>
                <c:pt idx="7">
                  <c:v>0.19</c:v>
                </c:pt>
                <c:pt idx="8">
                  <c:v>0.21</c:v>
                </c:pt>
                <c:pt idx="9">
                  <c:v>0.15</c:v>
                </c:pt>
                <c:pt idx="10">
                  <c:v>0.18</c:v>
                </c:pt>
                <c:pt idx="11">
                  <c:v>0.28000000000000003</c:v>
                </c:pt>
                <c:pt idx="12">
                  <c:v>0.16</c:v>
                </c:pt>
                <c:pt idx="13">
                  <c:v>0.2</c:v>
                </c:pt>
                <c:pt idx="14">
                  <c:v>0.23</c:v>
                </c:pt>
                <c:pt idx="15">
                  <c:v>0.28999999999999998</c:v>
                </c:pt>
                <c:pt idx="16">
                  <c:v>0.12</c:v>
                </c:pt>
                <c:pt idx="17">
                  <c:v>0.26</c:v>
                </c:pt>
                <c:pt idx="18">
                  <c:v>0.25</c:v>
                </c:pt>
                <c:pt idx="19">
                  <c:v>0.27</c:v>
                </c:pt>
                <c:pt idx="20">
                  <c:v>0.18</c:v>
                </c:pt>
                <c:pt idx="21">
                  <c:v>0.16</c:v>
                </c:pt>
                <c:pt idx="22">
                  <c:v>0.17</c:v>
                </c:pt>
                <c:pt idx="23">
                  <c:v>0.16</c:v>
                </c:pt>
                <c:pt idx="24">
                  <c:v>0.17</c:v>
                </c:pt>
                <c:pt idx="25">
                  <c:v>0.18</c:v>
                </c:pt>
                <c:pt idx="26">
                  <c:v>0.17</c:v>
                </c:pt>
                <c:pt idx="27">
                  <c:v>0.18</c:v>
                </c:pt>
                <c:pt idx="28">
                  <c:v>0.17</c:v>
                </c:pt>
                <c:pt idx="29">
                  <c:v>0.15</c:v>
                </c:pt>
                <c:pt idx="30">
                  <c:v>0.17</c:v>
                </c:pt>
                <c:pt idx="31">
                  <c:v>0.32</c:v>
                </c:pt>
                <c:pt idx="32">
                  <c:v>0.32</c:v>
                </c:pt>
                <c:pt idx="33">
                  <c:v>0.15</c:v>
                </c:pt>
                <c:pt idx="34">
                  <c:v>0.16</c:v>
                </c:pt>
                <c:pt idx="35">
                  <c:v>0.16</c:v>
                </c:pt>
                <c:pt idx="36">
                  <c:v>0.23</c:v>
                </c:pt>
                <c:pt idx="37">
                  <c:v>0.23</c:v>
                </c:pt>
                <c:pt idx="38">
                  <c:v>0.17</c:v>
                </c:pt>
                <c:pt idx="39">
                  <c:v>0.33</c:v>
                </c:pt>
                <c:pt idx="40">
                  <c:v>0.25</c:v>
                </c:pt>
                <c:pt idx="41">
                  <c:v>0.35</c:v>
                </c:pt>
                <c:pt idx="42">
                  <c:v>0.18</c:v>
                </c:pt>
                <c:pt idx="43">
                  <c:v>0.25</c:v>
                </c:pt>
                <c:pt idx="44">
                  <c:v>0.25</c:v>
                </c:pt>
                <c:pt idx="45">
                  <c:v>0.15</c:v>
                </c:pt>
                <c:pt idx="46">
                  <c:v>0.26</c:v>
                </c:pt>
                <c:pt idx="47">
                  <c:v>0.15</c:v>
                </c:pt>
              </c:numCache>
            </c:numRef>
          </c:xVal>
          <c:yVal>
            <c:numRef>
              <c:f>Diamonds!$G$25:$G$72</c:f>
              <c:numCache>
                <c:formatCode>General</c:formatCode>
                <c:ptCount val="48"/>
                <c:pt idx="0">
                  <c:v>32671.14688512366</c:v>
                </c:pt>
                <c:pt idx="1">
                  <c:v>31851.188815103342</c:v>
                </c:pt>
                <c:pt idx="2">
                  <c:v>32671.14688512366</c:v>
                </c:pt>
                <c:pt idx="3">
                  <c:v>33491.104955143972</c:v>
                </c:pt>
                <c:pt idx="4">
                  <c:v>39230.811445286177</c:v>
                </c:pt>
                <c:pt idx="5">
                  <c:v>31851.188815103342</c:v>
                </c:pt>
                <c:pt idx="6">
                  <c:v>31031.230745083027</c:v>
                </c:pt>
                <c:pt idx="7">
                  <c:v>34311.063025164287</c:v>
                </c:pt>
                <c:pt idx="8">
                  <c:v>35950.979165204917</c:v>
                </c:pt>
                <c:pt idx="9">
                  <c:v>31031.230745083027</c:v>
                </c:pt>
                <c:pt idx="10">
                  <c:v>33491.104955143972</c:v>
                </c:pt>
                <c:pt idx="11">
                  <c:v>41690.68565534713</c:v>
                </c:pt>
                <c:pt idx="12">
                  <c:v>31851.188815103342</c:v>
                </c:pt>
                <c:pt idx="13">
                  <c:v>35131.021095184609</c:v>
                </c:pt>
                <c:pt idx="14">
                  <c:v>37590.895305245547</c:v>
                </c:pt>
                <c:pt idx="15">
                  <c:v>42510.643725367438</c:v>
                </c:pt>
                <c:pt idx="16">
                  <c:v>28571.356535022082</c:v>
                </c:pt>
                <c:pt idx="17">
                  <c:v>40050.7695153065</c:v>
                </c:pt>
                <c:pt idx="18">
                  <c:v>39230.811445286177</c:v>
                </c:pt>
                <c:pt idx="19">
                  <c:v>40870.727585326807</c:v>
                </c:pt>
                <c:pt idx="20">
                  <c:v>33491.104955143972</c:v>
                </c:pt>
                <c:pt idx="21">
                  <c:v>31851.188815103342</c:v>
                </c:pt>
                <c:pt idx="22">
                  <c:v>32671.14688512366</c:v>
                </c:pt>
                <c:pt idx="23">
                  <c:v>31851.188815103342</c:v>
                </c:pt>
                <c:pt idx="24">
                  <c:v>32671.14688512366</c:v>
                </c:pt>
                <c:pt idx="25">
                  <c:v>33491.104955143972</c:v>
                </c:pt>
                <c:pt idx="26">
                  <c:v>32671.14688512366</c:v>
                </c:pt>
                <c:pt idx="27">
                  <c:v>33491.104955143972</c:v>
                </c:pt>
                <c:pt idx="28">
                  <c:v>32671.14688512366</c:v>
                </c:pt>
                <c:pt idx="29">
                  <c:v>31031.230745083027</c:v>
                </c:pt>
                <c:pt idx="30">
                  <c:v>32671.14688512366</c:v>
                </c:pt>
                <c:pt idx="31">
                  <c:v>44970.51793542839</c:v>
                </c:pt>
                <c:pt idx="32">
                  <c:v>44970.51793542839</c:v>
                </c:pt>
                <c:pt idx="33">
                  <c:v>31031.230745083027</c:v>
                </c:pt>
                <c:pt idx="34">
                  <c:v>31851.188815103342</c:v>
                </c:pt>
                <c:pt idx="35">
                  <c:v>31851.188815103342</c:v>
                </c:pt>
                <c:pt idx="36">
                  <c:v>37590.895305245547</c:v>
                </c:pt>
                <c:pt idx="37">
                  <c:v>37590.895305245547</c:v>
                </c:pt>
                <c:pt idx="38">
                  <c:v>32671.14688512366</c:v>
                </c:pt>
                <c:pt idx="39">
                  <c:v>45790.476005448705</c:v>
                </c:pt>
                <c:pt idx="40">
                  <c:v>39230.811445286177</c:v>
                </c:pt>
                <c:pt idx="41">
                  <c:v>47430.392145489328</c:v>
                </c:pt>
                <c:pt idx="42">
                  <c:v>33491.104955143972</c:v>
                </c:pt>
                <c:pt idx="43">
                  <c:v>39230.811445286177</c:v>
                </c:pt>
                <c:pt idx="44">
                  <c:v>39230.811445286177</c:v>
                </c:pt>
                <c:pt idx="45">
                  <c:v>31031.230745083027</c:v>
                </c:pt>
                <c:pt idx="46">
                  <c:v>40050.7695153065</c:v>
                </c:pt>
                <c:pt idx="47">
                  <c:v>31031.230745083027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7F-3543-80D0-A516DD0C4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04639"/>
        <c:axId val="248806319"/>
      </c:scatterChart>
      <c:valAx>
        <c:axId val="24880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Weight (carats)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806319"/>
        <c:crosses val="autoZero"/>
        <c:crossBetween val="midCat"/>
      </c:valAx>
      <c:valAx>
        <c:axId val="248806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Price (Rs)/Carat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804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Diamonds!$K$25:$K$72</c:f>
              <c:numCache>
                <c:formatCode>General</c:formatCode>
                <c:ptCount val="48"/>
                <c:pt idx="0">
                  <c:v>1.0416666666666667</c:v>
                </c:pt>
                <c:pt idx="1">
                  <c:v>3.125</c:v>
                </c:pt>
                <c:pt idx="2">
                  <c:v>5.2083333333333339</c:v>
                </c:pt>
                <c:pt idx="3">
                  <c:v>7.291666666666667</c:v>
                </c:pt>
                <c:pt idx="4">
                  <c:v>9.375</c:v>
                </c:pt>
                <c:pt idx="5">
                  <c:v>11.458333333333334</c:v>
                </c:pt>
                <c:pt idx="6">
                  <c:v>13.541666666666666</c:v>
                </c:pt>
                <c:pt idx="7">
                  <c:v>15.625</c:v>
                </c:pt>
                <c:pt idx="8">
                  <c:v>17.708333333333336</c:v>
                </c:pt>
                <c:pt idx="9">
                  <c:v>19.791666666666668</c:v>
                </c:pt>
                <c:pt idx="10">
                  <c:v>21.875000000000004</c:v>
                </c:pt>
                <c:pt idx="11">
                  <c:v>23.958333333333336</c:v>
                </c:pt>
                <c:pt idx="12">
                  <c:v>26.041666666666668</c:v>
                </c:pt>
                <c:pt idx="13">
                  <c:v>28.125000000000004</c:v>
                </c:pt>
                <c:pt idx="14">
                  <c:v>30.208333333333336</c:v>
                </c:pt>
                <c:pt idx="15">
                  <c:v>32.291666666666671</c:v>
                </c:pt>
                <c:pt idx="16">
                  <c:v>34.375</c:v>
                </c:pt>
                <c:pt idx="17">
                  <c:v>36.458333333333336</c:v>
                </c:pt>
                <c:pt idx="18">
                  <c:v>38.541666666666664</c:v>
                </c:pt>
                <c:pt idx="19">
                  <c:v>40.625</c:v>
                </c:pt>
                <c:pt idx="20">
                  <c:v>42.708333333333336</c:v>
                </c:pt>
                <c:pt idx="21">
                  <c:v>44.791666666666664</c:v>
                </c:pt>
                <c:pt idx="22">
                  <c:v>46.875</c:v>
                </c:pt>
                <c:pt idx="23">
                  <c:v>48.958333333333336</c:v>
                </c:pt>
                <c:pt idx="24">
                  <c:v>51.041666666666664</c:v>
                </c:pt>
                <c:pt idx="25">
                  <c:v>53.125</c:v>
                </c:pt>
                <c:pt idx="26">
                  <c:v>55.208333333333336</c:v>
                </c:pt>
                <c:pt idx="27">
                  <c:v>57.291666666666671</c:v>
                </c:pt>
                <c:pt idx="28">
                  <c:v>59.375</c:v>
                </c:pt>
                <c:pt idx="29">
                  <c:v>61.458333333333336</c:v>
                </c:pt>
                <c:pt idx="30">
                  <c:v>63.541666666666671</c:v>
                </c:pt>
                <c:pt idx="31">
                  <c:v>65.625000000000014</c:v>
                </c:pt>
                <c:pt idx="32">
                  <c:v>67.708333333333343</c:v>
                </c:pt>
                <c:pt idx="33">
                  <c:v>69.791666666666671</c:v>
                </c:pt>
                <c:pt idx="34">
                  <c:v>71.875000000000014</c:v>
                </c:pt>
                <c:pt idx="35">
                  <c:v>73.958333333333343</c:v>
                </c:pt>
                <c:pt idx="36">
                  <c:v>76.041666666666671</c:v>
                </c:pt>
                <c:pt idx="37">
                  <c:v>78.125000000000014</c:v>
                </c:pt>
                <c:pt idx="38">
                  <c:v>80.208333333333343</c:v>
                </c:pt>
                <c:pt idx="39">
                  <c:v>82.291666666666671</c:v>
                </c:pt>
                <c:pt idx="40">
                  <c:v>84.375000000000014</c:v>
                </c:pt>
                <c:pt idx="41">
                  <c:v>86.458333333333343</c:v>
                </c:pt>
                <c:pt idx="42">
                  <c:v>88.541666666666671</c:v>
                </c:pt>
                <c:pt idx="43">
                  <c:v>90.625000000000014</c:v>
                </c:pt>
                <c:pt idx="44">
                  <c:v>92.708333333333343</c:v>
                </c:pt>
                <c:pt idx="45">
                  <c:v>94.791666666666671</c:v>
                </c:pt>
                <c:pt idx="46">
                  <c:v>96.875000000000014</c:v>
                </c:pt>
                <c:pt idx="47">
                  <c:v>98.958333333333343</c:v>
                </c:pt>
              </c:numCache>
            </c:numRef>
          </c:xVal>
          <c:yVal>
            <c:numRef>
              <c:f>Diamonds!$L$25:$L$72</c:f>
              <c:numCache>
                <c:formatCode>General</c:formatCode>
                <c:ptCount val="48"/>
                <c:pt idx="0">
                  <c:v>27083.333333333336</c:v>
                </c:pt>
                <c:pt idx="1">
                  <c:v>27875</c:v>
                </c:pt>
                <c:pt idx="2">
                  <c:v>28058.823529411762</c:v>
                </c:pt>
                <c:pt idx="3">
                  <c:v>28700</c:v>
                </c:pt>
                <c:pt idx="4">
                  <c:v>29800</c:v>
                </c:pt>
                <c:pt idx="5">
                  <c:v>30441.176470588234</c:v>
                </c:pt>
                <c:pt idx="6">
                  <c:v>30529.411764705881</c:v>
                </c:pt>
                <c:pt idx="7">
                  <c:v>30750</c:v>
                </c:pt>
                <c:pt idx="8">
                  <c:v>30882.352941176468</c:v>
                </c:pt>
                <c:pt idx="9">
                  <c:v>30882.352941176468</c:v>
                </c:pt>
                <c:pt idx="10">
                  <c:v>31058.823529411762</c:v>
                </c:pt>
                <c:pt idx="11">
                  <c:v>31125</c:v>
                </c:pt>
                <c:pt idx="12">
                  <c:v>31147.058823529409</c:v>
                </c:pt>
                <c:pt idx="13">
                  <c:v>31323.529411764703</c:v>
                </c:pt>
                <c:pt idx="14">
                  <c:v>31500</c:v>
                </c:pt>
                <c:pt idx="15">
                  <c:v>31500</c:v>
                </c:pt>
                <c:pt idx="16">
                  <c:v>31600</c:v>
                </c:pt>
                <c:pt idx="17">
                  <c:v>31687.5</c:v>
                </c:pt>
                <c:pt idx="18">
                  <c:v>31781.25</c:v>
                </c:pt>
                <c:pt idx="19">
                  <c:v>32062.5</c:v>
                </c:pt>
                <c:pt idx="20">
                  <c:v>32200</c:v>
                </c:pt>
                <c:pt idx="21">
                  <c:v>32300</c:v>
                </c:pt>
                <c:pt idx="22">
                  <c:v>32343.75</c:v>
                </c:pt>
                <c:pt idx="23">
                  <c:v>34500</c:v>
                </c:pt>
                <c:pt idx="24">
                  <c:v>34916.666666666672</c:v>
                </c:pt>
                <c:pt idx="25">
                  <c:v>36065.217391304344</c:v>
                </c:pt>
                <c:pt idx="26">
                  <c:v>36500</c:v>
                </c:pt>
                <c:pt idx="27">
                  <c:v>36916.666666666672</c:v>
                </c:pt>
                <c:pt idx="28">
                  <c:v>37350</c:v>
                </c:pt>
                <c:pt idx="29">
                  <c:v>38250</c:v>
                </c:pt>
                <c:pt idx="30">
                  <c:v>38289.473684210527</c:v>
                </c:pt>
                <c:pt idx="31">
                  <c:v>38500</c:v>
                </c:pt>
                <c:pt idx="32">
                  <c:v>38520</c:v>
                </c:pt>
                <c:pt idx="33">
                  <c:v>38804.347826086952</c:v>
                </c:pt>
                <c:pt idx="34">
                  <c:v>38804.347826086952</c:v>
                </c:pt>
                <c:pt idx="35">
                  <c:v>39000</c:v>
                </c:pt>
                <c:pt idx="36">
                  <c:v>39300</c:v>
                </c:pt>
                <c:pt idx="37">
                  <c:v>39980.769230769227</c:v>
                </c:pt>
                <c:pt idx="38">
                  <c:v>40000</c:v>
                </c:pt>
                <c:pt idx="39">
                  <c:v>40500</c:v>
                </c:pt>
                <c:pt idx="40">
                  <c:v>40680</c:v>
                </c:pt>
                <c:pt idx="41">
                  <c:v>42954.545454545456</c:v>
                </c:pt>
                <c:pt idx="42">
                  <c:v>43031.25</c:v>
                </c:pt>
                <c:pt idx="43">
                  <c:v>43078.125</c:v>
                </c:pt>
                <c:pt idx="44">
                  <c:v>44089.28571428571</c:v>
                </c:pt>
                <c:pt idx="45">
                  <c:v>44482.758620689659</c:v>
                </c:pt>
                <c:pt idx="46">
                  <c:v>45000</c:v>
                </c:pt>
                <c:pt idx="47">
                  <c:v>46542.857142857145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F-B443-B675-9ABEB5368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59407"/>
        <c:axId val="61861055"/>
      </c:scatterChart>
      <c:valAx>
        <c:axId val="6185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61055"/>
        <c:crosses val="autoZero"/>
        <c:crossBetween val="midCat"/>
      </c:valAx>
      <c:valAx>
        <c:axId val="61861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Price (Rs)/Carat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594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279400</xdr:colOff>
      <xdr:row>1</xdr:row>
      <xdr:rowOff>76200</xdr:rowOff>
    </xdr:from>
    <xdr:to>
      <xdr:col>20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97045-9460-E14D-B2A7-10527D7D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292100</xdr:colOff>
      <xdr:row>13</xdr:row>
      <xdr:rowOff>0</xdr:rowOff>
    </xdr:from>
    <xdr:to>
      <xdr:col>20</xdr:col>
      <xdr:colOff>292100</xdr:colOff>
      <xdr:row>22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5987C-2E5C-E846-9B08-86C63548E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24</xdr:row>
      <xdr:rowOff>152400</xdr:rowOff>
    </xdr:from>
    <xdr:to>
      <xdr:col>20</xdr:col>
      <xdr:colOff>304800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EBAB41-898C-F24A-BF72-A5EDB0DC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zoomScale="226" workbookViewId="0">
      <selection activeCell="D20" sqref="D20"/>
    </sheetView>
  </sheetViews>
  <sheetFormatPr baseColWidth="10" defaultColWidth="8.83203125" defaultRowHeight="15" x14ac:dyDescent="0.2"/>
  <cols>
    <col min="1" max="1" width="13.6640625" bestFit="1" customWidth="1"/>
    <col min="2" max="2" width="14" bestFit="1" customWidth="1"/>
    <col min="3" max="3" width="11.6640625" customWidth="1"/>
    <col min="6" max="6" width="15.6640625" bestFit="1" customWidth="1"/>
    <col min="7" max="7" width="21.6640625" bestFit="1" customWidth="1"/>
    <col min="8" max="8" width="13.33203125" bestFit="1" customWidth="1"/>
    <col min="9" max="9" width="16.6640625" bestFit="1" customWidth="1"/>
    <col min="10" max="10" width="9" bestFit="1" customWidth="1"/>
    <col min="11" max="11" width="17.5" bestFit="1" customWidth="1"/>
    <col min="12" max="14" width="9" bestFit="1" customWidth="1"/>
  </cols>
  <sheetData>
    <row r="1" spans="1:14" x14ac:dyDescent="0.2">
      <c r="A1" s="1" t="s">
        <v>0</v>
      </c>
      <c r="B1" s="1" t="s">
        <v>2</v>
      </c>
      <c r="C1" s="1" t="s">
        <v>1</v>
      </c>
      <c r="F1" t="s">
        <v>3</v>
      </c>
    </row>
    <row r="2" spans="1:14" ht="16" thickBot="1" x14ac:dyDescent="0.25">
      <c r="A2">
        <v>0.17</v>
      </c>
      <c r="B2">
        <v>31323.529411764703</v>
      </c>
      <c r="C2">
        <v>355</v>
      </c>
    </row>
    <row r="3" spans="1:14" x14ac:dyDescent="0.2">
      <c r="A3">
        <v>0.16</v>
      </c>
      <c r="B3">
        <v>30750</v>
      </c>
      <c r="C3">
        <v>328</v>
      </c>
      <c r="F3" s="5" t="s">
        <v>4</v>
      </c>
      <c r="G3" s="5"/>
    </row>
    <row r="4" spans="1:14" x14ac:dyDescent="0.2">
      <c r="A4">
        <v>0.17</v>
      </c>
      <c r="B4">
        <v>30882.352941176468</v>
      </c>
      <c r="C4">
        <v>350</v>
      </c>
      <c r="F4" s="2" t="s">
        <v>5</v>
      </c>
      <c r="G4" s="2">
        <v>0.88847578799461879</v>
      </c>
    </row>
    <row r="5" spans="1:14" x14ac:dyDescent="0.2">
      <c r="A5">
        <v>0.18</v>
      </c>
      <c r="B5">
        <v>27083.333333333336</v>
      </c>
      <c r="C5">
        <v>325</v>
      </c>
      <c r="F5" s="2" t="s">
        <v>6</v>
      </c>
      <c r="G5" s="2">
        <v>0.7893892258526588</v>
      </c>
    </row>
    <row r="6" spans="1:14" x14ac:dyDescent="0.2">
      <c r="A6">
        <v>0.25</v>
      </c>
      <c r="B6">
        <v>38520</v>
      </c>
      <c r="C6">
        <v>642</v>
      </c>
      <c r="F6" s="2" t="s">
        <v>7</v>
      </c>
      <c r="G6" s="2">
        <v>0.7848107307624993</v>
      </c>
    </row>
    <row r="7" spans="1:14" x14ac:dyDescent="0.2">
      <c r="A7">
        <v>0.16</v>
      </c>
      <c r="B7">
        <v>32062.5</v>
      </c>
      <c r="C7">
        <v>342</v>
      </c>
      <c r="F7" s="2" t="s">
        <v>8</v>
      </c>
      <c r="G7" s="2">
        <v>2431.1361067134126</v>
      </c>
    </row>
    <row r="8" spans="1:14" ht="16" thickBot="1" x14ac:dyDescent="0.25">
      <c r="A8">
        <v>0.15</v>
      </c>
      <c r="B8">
        <v>32200</v>
      </c>
      <c r="C8">
        <v>322</v>
      </c>
      <c r="F8" s="3" t="s">
        <v>9</v>
      </c>
      <c r="G8" s="3">
        <v>48</v>
      </c>
    </row>
    <row r="9" spans="1:14" x14ac:dyDescent="0.2">
      <c r="A9">
        <v>0.19</v>
      </c>
      <c r="B9">
        <v>38289.473684210527</v>
      </c>
      <c r="C9">
        <v>485</v>
      </c>
    </row>
    <row r="10" spans="1:14" ht="16" thickBot="1" x14ac:dyDescent="0.25">
      <c r="A10">
        <v>0.21</v>
      </c>
      <c r="B10">
        <v>34500</v>
      </c>
      <c r="C10">
        <v>483</v>
      </c>
      <c r="F10" t="s">
        <v>10</v>
      </c>
    </row>
    <row r="11" spans="1:14" x14ac:dyDescent="0.2">
      <c r="A11">
        <v>0.15</v>
      </c>
      <c r="B11">
        <v>32300</v>
      </c>
      <c r="C11">
        <v>323</v>
      </c>
      <c r="F11" s="4"/>
      <c r="G11" s="4" t="s">
        <v>15</v>
      </c>
      <c r="H11" s="4" t="s">
        <v>16</v>
      </c>
      <c r="I11" s="4" t="s">
        <v>17</v>
      </c>
      <c r="J11" s="4" t="s">
        <v>18</v>
      </c>
      <c r="K11" s="4" t="s">
        <v>19</v>
      </c>
    </row>
    <row r="12" spans="1:14" x14ac:dyDescent="0.2">
      <c r="A12">
        <v>0.18</v>
      </c>
      <c r="B12">
        <v>38500</v>
      </c>
      <c r="C12">
        <v>462</v>
      </c>
      <c r="F12" s="2" t="s">
        <v>11</v>
      </c>
      <c r="G12" s="2">
        <v>1</v>
      </c>
      <c r="H12" s="2">
        <v>1019030044.2604268</v>
      </c>
      <c r="I12" s="2">
        <v>1019030044.2604268</v>
      </c>
      <c r="J12" s="2">
        <v>172.41237793380333</v>
      </c>
      <c r="K12" s="2">
        <v>3.607663875152204E-17</v>
      </c>
    </row>
    <row r="13" spans="1:14" x14ac:dyDescent="0.2">
      <c r="A13">
        <v>0.28000000000000003</v>
      </c>
      <c r="B13">
        <v>44089.28571428571</v>
      </c>
      <c r="C13">
        <v>823</v>
      </c>
      <c r="F13" s="2" t="s">
        <v>12</v>
      </c>
      <c r="G13" s="2">
        <v>46</v>
      </c>
      <c r="H13" s="2">
        <v>271879447.39081985</v>
      </c>
      <c r="I13" s="2">
        <v>5910422.7693656487</v>
      </c>
      <c r="J13" s="2"/>
      <c r="K13" s="2"/>
    </row>
    <row r="14" spans="1:14" ht="16" thickBot="1" x14ac:dyDescent="0.25">
      <c r="A14">
        <v>0.16</v>
      </c>
      <c r="B14">
        <v>31500</v>
      </c>
      <c r="C14">
        <v>336</v>
      </c>
      <c r="F14" s="3" t="s">
        <v>13</v>
      </c>
      <c r="G14" s="3">
        <v>47</v>
      </c>
      <c r="H14" s="3">
        <v>1290909491.6512465</v>
      </c>
      <c r="I14" s="3"/>
      <c r="J14" s="3"/>
      <c r="K14" s="3"/>
    </row>
    <row r="15" spans="1:14" ht="16" thickBot="1" x14ac:dyDescent="0.25">
      <c r="A15">
        <v>0.2</v>
      </c>
      <c r="B15">
        <v>37350</v>
      </c>
      <c r="C15">
        <v>498</v>
      </c>
    </row>
    <row r="16" spans="1:14" x14ac:dyDescent="0.2">
      <c r="A16">
        <v>0.23</v>
      </c>
      <c r="B16">
        <v>38804.347826086952</v>
      </c>
      <c r="C16">
        <v>595</v>
      </c>
      <c r="F16" s="4"/>
      <c r="G16" s="4" t="s">
        <v>20</v>
      </c>
      <c r="H16" s="4" t="s">
        <v>8</v>
      </c>
      <c r="I16" s="4" t="s">
        <v>21</v>
      </c>
      <c r="J16" s="4" t="s">
        <v>22</v>
      </c>
      <c r="K16" s="4" t="s">
        <v>23</v>
      </c>
      <c r="L16" s="4" t="s">
        <v>24</v>
      </c>
      <c r="M16" s="4" t="s">
        <v>25</v>
      </c>
      <c r="N16" s="4" t="s">
        <v>26</v>
      </c>
    </row>
    <row r="17" spans="1:14" x14ac:dyDescent="0.2">
      <c r="A17">
        <v>0.28999999999999998</v>
      </c>
      <c r="B17">
        <v>44482.758620689659</v>
      </c>
      <c r="C17">
        <v>860</v>
      </c>
      <c r="F17" s="2" t="s">
        <v>14</v>
      </c>
      <c r="G17" s="2">
        <v>18731.859694778301</v>
      </c>
      <c r="H17" s="2">
        <v>1322.3557155056949</v>
      </c>
      <c r="I17" s="2">
        <v>14.165522540668922</v>
      </c>
      <c r="J17" s="2">
        <v>2.1679326325191597E-18</v>
      </c>
      <c r="K17" s="2">
        <v>16070.095694830934</v>
      </c>
      <c r="L17" s="2">
        <v>21393.623694725669</v>
      </c>
      <c r="M17" s="2">
        <v>16070.095694830934</v>
      </c>
      <c r="N17" s="2">
        <v>21393.623694725669</v>
      </c>
    </row>
    <row r="18" spans="1:14" ht="16" thickBot="1" x14ac:dyDescent="0.25">
      <c r="A18">
        <v>0.12</v>
      </c>
      <c r="B18">
        <v>27875</v>
      </c>
      <c r="C18">
        <v>223</v>
      </c>
      <c r="F18" s="3" t="s">
        <v>0</v>
      </c>
      <c r="G18" s="3">
        <v>81995.807002031521</v>
      </c>
      <c r="H18" s="3">
        <v>6244.6402456028072</v>
      </c>
      <c r="I18" s="3">
        <v>13.130589397807064</v>
      </c>
      <c r="J18" s="3">
        <v>3.6076638751522298E-17</v>
      </c>
      <c r="K18" s="3">
        <v>69425.998134822483</v>
      </c>
      <c r="L18" s="3">
        <v>94565.615869240559</v>
      </c>
      <c r="M18" s="3">
        <v>69425.998134822483</v>
      </c>
      <c r="N18" s="3">
        <v>94565.615869240559</v>
      </c>
    </row>
    <row r="19" spans="1:14" x14ac:dyDescent="0.2">
      <c r="A19">
        <v>0.26</v>
      </c>
      <c r="B19">
        <v>38250</v>
      </c>
      <c r="C19">
        <v>663</v>
      </c>
    </row>
    <row r="20" spans="1:14" x14ac:dyDescent="0.2">
      <c r="A20">
        <v>0.25</v>
      </c>
      <c r="B20">
        <v>45000</v>
      </c>
      <c r="C20">
        <v>750</v>
      </c>
    </row>
    <row r="21" spans="1:14" x14ac:dyDescent="0.2">
      <c r="A21">
        <v>0.27</v>
      </c>
      <c r="B21">
        <v>40000</v>
      </c>
      <c r="C21">
        <v>720</v>
      </c>
    </row>
    <row r="22" spans="1:14" x14ac:dyDescent="0.2">
      <c r="A22">
        <v>0.18</v>
      </c>
      <c r="B22">
        <v>39000</v>
      </c>
      <c r="C22">
        <v>468</v>
      </c>
      <c r="F22" t="s">
        <v>27</v>
      </c>
      <c r="K22" t="s">
        <v>32</v>
      </c>
    </row>
    <row r="23" spans="1:14" ht="16" thickBot="1" x14ac:dyDescent="0.25">
      <c r="A23">
        <v>0.16</v>
      </c>
      <c r="B23">
        <v>32343.75</v>
      </c>
      <c r="C23">
        <v>345</v>
      </c>
    </row>
    <row r="24" spans="1:14" x14ac:dyDescent="0.2">
      <c r="A24">
        <v>0.17</v>
      </c>
      <c r="B24">
        <v>31058.823529411762</v>
      </c>
      <c r="C24">
        <v>352</v>
      </c>
      <c r="F24" s="4" t="s">
        <v>28</v>
      </c>
      <c r="G24" s="4" t="s">
        <v>29</v>
      </c>
      <c r="H24" s="4" t="s">
        <v>30</v>
      </c>
      <c r="I24" s="4" t="s">
        <v>31</v>
      </c>
      <c r="K24" s="4" t="s">
        <v>33</v>
      </c>
      <c r="L24" s="4" t="s">
        <v>2</v>
      </c>
    </row>
    <row r="25" spans="1:14" x14ac:dyDescent="0.2">
      <c r="A25">
        <v>0.16</v>
      </c>
      <c r="B25">
        <v>31125</v>
      </c>
      <c r="C25">
        <v>332</v>
      </c>
      <c r="F25" s="2">
        <v>1</v>
      </c>
      <c r="G25" s="2">
        <v>32671.14688512366</v>
      </c>
      <c r="H25" s="2">
        <v>-1347.6174733589578</v>
      </c>
      <c r="I25" s="2">
        <v>-0.56030870939779376</v>
      </c>
      <c r="K25" s="2">
        <v>1.0416666666666667</v>
      </c>
      <c r="L25" s="2">
        <v>27083.333333333336</v>
      </c>
    </row>
    <row r="26" spans="1:14" x14ac:dyDescent="0.2">
      <c r="A26">
        <v>0.17</v>
      </c>
      <c r="B26">
        <v>31147.058823529409</v>
      </c>
      <c r="C26">
        <v>353</v>
      </c>
      <c r="F26" s="2">
        <v>2</v>
      </c>
      <c r="G26" s="2">
        <v>31851.188815103342</v>
      </c>
      <c r="H26" s="2">
        <v>-1101.1888151033418</v>
      </c>
      <c r="I26" s="2">
        <v>-0.45784927547425075</v>
      </c>
      <c r="K26" s="2">
        <v>3.125</v>
      </c>
      <c r="L26" s="2">
        <v>27875</v>
      </c>
    </row>
    <row r="27" spans="1:14" x14ac:dyDescent="0.2">
      <c r="A27">
        <v>0.18</v>
      </c>
      <c r="B27">
        <v>36500</v>
      </c>
      <c r="C27">
        <v>438</v>
      </c>
      <c r="F27" s="2">
        <v>3</v>
      </c>
      <c r="G27" s="2">
        <v>32671.14688512366</v>
      </c>
      <c r="H27" s="2">
        <v>-1788.793943947192</v>
      </c>
      <c r="I27" s="2">
        <v>-0.74373985639519047</v>
      </c>
      <c r="K27" s="2">
        <v>5.2083333333333339</v>
      </c>
      <c r="L27" s="2">
        <v>28058.823529411762</v>
      </c>
    </row>
    <row r="28" spans="1:14" x14ac:dyDescent="0.2">
      <c r="A28">
        <v>0.17</v>
      </c>
      <c r="B28">
        <v>28058.823529411762</v>
      </c>
      <c r="C28">
        <v>318</v>
      </c>
      <c r="F28" s="2">
        <v>4</v>
      </c>
      <c r="G28" s="2">
        <v>33491.104955143972</v>
      </c>
      <c r="H28" s="2">
        <v>-6407.7716218106361</v>
      </c>
      <c r="I28" s="2">
        <v>-2.6642057694484853</v>
      </c>
      <c r="K28" s="2">
        <v>7.291666666666667</v>
      </c>
      <c r="L28" s="2">
        <v>28700</v>
      </c>
    </row>
    <row r="29" spans="1:14" x14ac:dyDescent="0.2">
      <c r="A29">
        <v>0.18</v>
      </c>
      <c r="B29">
        <v>34916.666666666672</v>
      </c>
      <c r="C29">
        <v>419</v>
      </c>
      <c r="F29" s="2">
        <v>5</v>
      </c>
      <c r="G29" s="2">
        <v>39230.811445286177</v>
      </c>
      <c r="H29" s="2">
        <v>-710.81144528617733</v>
      </c>
      <c r="I29" s="2">
        <v>-0.29553923973750112</v>
      </c>
      <c r="K29" s="2">
        <v>9.375</v>
      </c>
      <c r="L29" s="2">
        <v>29800</v>
      </c>
    </row>
    <row r="30" spans="1:14" x14ac:dyDescent="0.2">
      <c r="A30">
        <v>0.17</v>
      </c>
      <c r="B30">
        <v>30529.411764705881</v>
      </c>
      <c r="C30">
        <v>346</v>
      </c>
      <c r="F30" s="2">
        <v>6</v>
      </c>
      <c r="G30" s="2">
        <v>31851.188815103342</v>
      </c>
      <c r="H30" s="2">
        <v>211.31118489665823</v>
      </c>
      <c r="I30" s="2">
        <v>8.7858386843005634E-2</v>
      </c>
      <c r="K30" s="2">
        <v>11.458333333333334</v>
      </c>
      <c r="L30" s="2">
        <v>30441.176470588234</v>
      </c>
    </row>
    <row r="31" spans="1:14" x14ac:dyDescent="0.2">
      <c r="A31">
        <v>0.15</v>
      </c>
      <c r="B31">
        <v>31500</v>
      </c>
      <c r="C31">
        <v>315</v>
      </c>
      <c r="F31" s="2">
        <v>7</v>
      </c>
      <c r="G31" s="2">
        <v>31031.230745083027</v>
      </c>
      <c r="H31" s="2">
        <v>1168.7692549169733</v>
      </c>
      <c r="I31" s="2">
        <v>0.48594768601068417</v>
      </c>
      <c r="K31" s="2">
        <v>13.541666666666666</v>
      </c>
      <c r="L31" s="2">
        <v>30529.411764705881</v>
      </c>
    </row>
    <row r="32" spans="1:14" x14ac:dyDescent="0.2">
      <c r="A32">
        <v>0.17</v>
      </c>
      <c r="B32">
        <v>30882.352941176468</v>
      </c>
      <c r="C32">
        <v>350</v>
      </c>
      <c r="F32" s="2">
        <v>8</v>
      </c>
      <c r="G32" s="2">
        <v>34311.063025164287</v>
      </c>
      <c r="H32" s="2">
        <v>3978.4106590462397</v>
      </c>
      <c r="I32" s="2">
        <v>1.6541327089418505</v>
      </c>
      <c r="K32" s="2">
        <v>15.625</v>
      </c>
      <c r="L32" s="2">
        <v>30750</v>
      </c>
    </row>
    <row r="33" spans="1:12" x14ac:dyDescent="0.2">
      <c r="A33">
        <v>0.32</v>
      </c>
      <c r="B33">
        <v>43031.25</v>
      </c>
      <c r="C33">
        <v>918</v>
      </c>
      <c r="F33" s="2">
        <v>9</v>
      </c>
      <c r="G33" s="2">
        <v>35950.979165204917</v>
      </c>
      <c r="H33" s="2">
        <v>-1450.9791652049171</v>
      </c>
      <c r="I33" s="2">
        <v>-0.60328415109715772</v>
      </c>
      <c r="K33" s="2">
        <v>17.708333333333336</v>
      </c>
      <c r="L33" s="2">
        <v>30882.352941176468</v>
      </c>
    </row>
    <row r="34" spans="1:12" x14ac:dyDescent="0.2">
      <c r="A34">
        <v>0.32</v>
      </c>
      <c r="B34">
        <v>43078.125</v>
      </c>
      <c r="C34">
        <v>919</v>
      </c>
      <c r="F34" s="2">
        <v>10</v>
      </c>
      <c r="G34" s="2">
        <v>31031.230745083027</v>
      </c>
      <c r="H34" s="2">
        <v>1268.7692549169733</v>
      </c>
      <c r="I34" s="2">
        <v>0.52752541266342756</v>
      </c>
      <c r="K34" s="2">
        <v>19.791666666666668</v>
      </c>
      <c r="L34" s="2">
        <v>30882.352941176468</v>
      </c>
    </row>
    <row r="35" spans="1:12" x14ac:dyDescent="0.2">
      <c r="A35">
        <v>0.15</v>
      </c>
      <c r="B35">
        <v>29800</v>
      </c>
      <c r="C35">
        <v>298</v>
      </c>
      <c r="F35" s="2">
        <v>11</v>
      </c>
      <c r="G35" s="2">
        <v>33491.104955143972</v>
      </c>
      <c r="H35" s="2">
        <v>5008.8950448560281</v>
      </c>
      <c r="I35" s="2">
        <v>2.0825846900730456</v>
      </c>
      <c r="K35" s="2">
        <v>21.875000000000004</v>
      </c>
      <c r="L35" s="2">
        <v>31058.823529411762</v>
      </c>
    </row>
    <row r="36" spans="1:12" x14ac:dyDescent="0.2">
      <c r="A36">
        <v>0.16</v>
      </c>
      <c r="B36">
        <v>31781.25</v>
      </c>
      <c r="C36">
        <v>339</v>
      </c>
      <c r="F36" s="2">
        <v>12</v>
      </c>
      <c r="G36" s="2">
        <v>41690.68565534713</v>
      </c>
      <c r="H36" s="2">
        <v>2398.6000589385803</v>
      </c>
      <c r="I36" s="2">
        <v>0.99728337599802364</v>
      </c>
      <c r="K36" s="2">
        <v>23.958333333333336</v>
      </c>
      <c r="L36" s="2">
        <v>31125</v>
      </c>
    </row>
    <row r="37" spans="1:12" x14ac:dyDescent="0.2">
      <c r="A37">
        <v>0.16</v>
      </c>
      <c r="B37">
        <v>31687.5</v>
      </c>
      <c r="C37">
        <v>338</v>
      </c>
      <c r="F37" s="2">
        <v>13</v>
      </c>
      <c r="G37" s="2">
        <v>31851.188815103342</v>
      </c>
      <c r="H37" s="2">
        <v>-351.18881510334177</v>
      </c>
      <c r="I37" s="2">
        <v>-0.14601632557867567</v>
      </c>
      <c r="K37" s="2">
        <v>26.041666666666668</v>
      </c>
      <c r="L37" s="2">
        <v>31147.058823529409</v>
      </c>
    </row>
    <row r="38" spans="1:12" x14ac:dyDescent="0.2">
      <c r="A38">
        <v>0.23</v>
      </c>
      <c r="B38">
        <v>38804.347826086952</v>
      </c>
      <c r="C38">
        <v>595</v>
      </c>
      <c r="F38" s="2">
        <v>14</v>
      </c>
      <c r="G38" s="2">
        <v>35131.021095184609</v>
      </c>
      <c r="H38" s="2">
        <v>2218.9789048153907</v>
      </c>
      <c r="I38" s="2">
        <v>0.92260098352618103</v>
      </c>
      <c r="K38" s="2">
        <v>28.125000000000004</v>
      </c>
      <c r="L38" s="2">
        <v>31323.529411764703</v>
      </c>
    </row>
    <row r="39" spans="1:12" x14ac:dyDescent="0.2">
      <c r="A39">
        <v>0.23</v>
      </c>
      <c r="B39">
        <v>36065.217391304344</v>
      </c>
      <c r="C39">
        <v>553</v>
      </c>
      <c r="F39" s="2">
        <v>15</v>
      </c>
      <c r="G39" s="2">
        <v>37590.895305245547</v>
      </c>
      <c r="H39" s="2">
        <v>1213.4525208414052</v>
      </c>
      <c r="I39" s="2">
        <v>0.50452597217626294</v>
      </c>
      <c r="K39" s="2">
        <v>30.208333333333336</v>
      </c>
      <c r="L39" s="2">
        <v>31500</v>
      </c>
    </row>
    <row r="40" spans="1:12" x14ac:dyDescent="0.2">
      <c r="A40">
        <v>0.17</v>
      </c>
      <c r="B40">
        <v>30441.176470588234</v>
      </c>
      <c r="C40">
        <v>345</v>
      </c>
      <c r="F40" s="2">
        <v>16</v>
      </c>
      <c r="G40" s="2">
        <v>42510.643725367438</v>
      </c>
      <c r="H40" s="2">
        <v>1972.1148953222219</v>
      </c>
      <c r="I40" s="2">
        <v>0.81996054045510891</v>
      </c>
      <c r="K40" s="2">
        <v>32.291666666666671</v>
      </c>
      <c r="L40" s="2">
        <v>31500</v>
      </c>
    </row>
    <row r="41" spans="1:12" x14ac:dyDescent="0.2">
      <c r="A41">
        <v>0.33</v>
      </c>
      <c r="B41">
        <v>42954.545454545456</v>
      </c>
      <c r="C41">
        <v>945</v>
      </c>
      <c r="F41" s="2">
        <v>17</v>
      </c>
      <c r="G41" s="2">
        <v>28571.356535022082</v>
      </c>
      <c r="H41" s="2">
        <v>-696.35653502208152</v>
      </c>
      <c r="I41" s="2">
        <v>-0.28952921665999604</v>
      </c>
      <c r="K41" s="2">
        <v>34.375</v>
      </c>
      <c r="L41" s="2">
        <v>31600</v>
      </c>
    </row>
    <row r="42" spans="1:12" x14ac:dyDescent="0.2">
      <c r="A42">
        <v>0.25</v>
      </c>
      <c r="B42">
        <v>39300</v>
      </c>
      <c r="C42">
        <v>655</v>
      </c>
      <c r="F42" s="2">
        <v>18</v>
      </c>
      <c r="G42" s="2">
        <v>40050.7695153065</v>
      </c>
      <c r="H42" s="2">
        <v>-1800.7695153064997</v>
      </c>
      <c r="I42" s="2">
        <v>-0.74871902672006763</v>
      </c>
      <c r="K42" s="2">
        <v>36.458333333333336</v>
      </c>
      <c r="L42" s="2">
        <v>31687.5</v>
      </c>
    </row>
    <row r="43" spans="1:12" x14ac:dyDescent="0.2">
      <c r="A43">
        <v>0.35</v>
      </c>
      <c r="B43">
        <v>46542.857142857145</v>
      </c>
      <c r="C43">
        <v>1086</v>
      </c>
      <c r="F43" s="2">
        <v>19</v>
      </c>
      <c r="G43" s="2">
        <v>39230.811445286177</v>
      </c>
      <c r="H43" s="2">
        <v>5769.1885547138227</v>
      </c>
      <c r="I43" s="2">
        <v>2.3986974473602674</v>
      </c>
      <c r="K43" s="2">
        <v>38.541666666666664</v>
      </c>
      <c r="L43" s="2">
        <v>31781.25</v>
      </c>
    </row>
    <row r="44" spans="1:12" x14ac:dyDescent="0.2">
      <c r="A44">
        <v>0.18</v>
      </c>
      <c r="B44">
        <v>36916.666666666672</v>
      </c>
      <c r="C44">
        <v>443</v>
      </c>
      <c r="F44" s="2">
        <v>20</v>
      </c>
      <c r="G44" s="2">
        <v>40870.727585326807</v>
      </c>
      <c r="H44" s="2">
        <v>-870.72758532680746</v>
      </c>
      <c r="I44" s="2">
        <v>-0.36202873531721258</v>
      </c>
      <c r="K44" s="2">
        <v>40.625</v>
      </c>
      <c r="L44" s="2">
        <v>32062.5</v>
      </c>
    </row>
    <row r="45" spans="1:12" x14ac:dyDescent="0.2">
      <c r="A45">
        <v>0.25</v>
      </c>
      <c r="B45">
        <v>40680</v>
      </c>
      <c r="C45">
        <v>678</v>
      </c>
      <c r="F45" s="2">
        <v>21</v>
      </c>
      <c r="G45" s="2">
        <v>33491.104955143972</v>
      </c>
      <c r="H45" s="2">
        <v>5508.8950448560281</v>
      </c>
      <c r="I45" s="2">
        <v>2.2904733233367622</v>
      </c>
      <c r="K45" s="2">
        <v>42.708333333333336</v>
      </c>
      <c r="L45" s="2">
        <v>32200</v>
      </c>
    </row>
    <row r="46" spans="1:12" x14ac:dyDescent="0.2">
      <c r="A46">
        <v>0.25</v>
      </c>
      <c r="B46">
        <v>40500</v>
      </c>
      <c r="C46">
        <v>675</v>
      </c>
      <c r="F46" s="2">
        <v>22</v>
      </c>
      <c r="G46" s="2">
        <v>31851.188815103342</v>
      </c>
      <c r="H46" s="2">
        <v>492.56118489665823</v>
      </c>
      <c r="I46" s="2">
        <v>0.20479574305384629</v>
      </c>
      <c r="K46" s="2">
        <v>44.791666666666664</v>
      </c>
      <c r="L46" s="2">
        <v>32300</v>
      </c>
    </row>
    <row r="47" spans="1:12" x14ac:dyDescent="0.2">
      <c r="A47">
        <v>0.15</v>
      </c>
      <c r="B47">
        <v>28700</v>
      </c>
      <c r="C47">
        <v>287</v>
      </c>
      <c r="F47" s="2">
        <v>23</v>
      </c>
      <c r="G47" s="2">
        <v>32671.14688512366</v>
      </c>
      <c r="H47" s="2">
        <v>-1612.3233557118983</v>
      </c>
      <c r="I47" s="2">
        <v>-0.67036739759623176</v>
      </c>
      <c r="K47" s="2">
        <v>46.875</v>
      </c>
      <c r="L47" s="2">
        <v>32343.75</v>
      </c>
    </row>
    <row r="48" spans="1:12" x14ac:dyDescent="0.2">
      <c r="A48">
        <v>0.26</v>
      </c>
      <c r="B48">
        <v>39980.769230769227</v>
      </c>
      <c r="C48">
        <v>693</v>
      </c>
      <c r="F48" s="2">
        <v>24</v>
      </c>
      <c r="G48" s="2">
        <v>31851.188815103342</v>
      </c>
      <c r="H48" s="2">
        <v>-726.18881510334177</v>
      </c>
      <c r="I48" s="2">
        <v>-0.30193280052646321</v>
      </c>
      <c r="K48" s="2">
        <v>48.958333333333336</v>
      </c>
      <c r="L48" s="2">
        <v>34500</v>
      </c>
    </row>
    <row r="49" spans="1:12" x14ac:dyDescent="0.2">
      <c r="A49">
        <v>0.15</v>
      </c>
      <c r="B49">
        <v>31600</v>
      </c>
      <c r="C49">
        <v>316</v>
      </c>
      <c r="F49" s="2">
        <v>25</v>
      </c>
      <c r="G49" s="2">
        <v>32671.14688512366</v>
      </c>
      <c r="H49" s="2">
        <v>-1524.0880615942515</v>
      </c>
      <c r="I49" s="2">
        <v>-0.63368116819675246</v>
      </c>
      <c r="K49" s="2">
        <v>51.041666666666664</v>
      </c>
      <c r="L49" s="2">
        <v>34916.666666666672</v>
      </c>
    </row>
    <row r="50" spans="1:12" x14ac:dyDescent="0.2">
      <c r="F50" s="2">
        <v>26</v>
      </c>
      <c r="G50" s="2">
        <v>33491.104955143972</v>
      </c>
      <c r="H50" s="2">
        <v>3008.8950448560281</v>
      </c>
      <c r="I50" s="2">
        <v>1.2510301570181785</v>
      </c>
      <c r="K50" s="2">
        <v>53.125</v>
      </c>
      <c r="L50" s="2">
        <v>36065.217391304344</v>
      </c>
    </row>
    <row r="51" spans="1:12" x14ac:dyDescent="0.2">
      <c r="F51" s="2">
        <v>27</v>
      </c>
      <c r="G51" s="2">
        <v>32671.14688512366</v>
      </c>
      <c r="H51" s="2">
        <v>-4612.3233557118983</v>
      </c>
      <c r="I51" s="2">
        <v>-1.917699197178532</v>
      </c>
      <c r="K51" s="2">
        <v>55.208333333333336</v>
      </c>
      <c r="L51" s="2">
        <v>36500</v>
      </c>
    </row>
    <row r="52" spans="1:12" x14ac:dyDescent="0.2">
      <c r="F52" s="2">
        <v>28</v>
      </c>
      <c r="G52" s="2">
        <v>33491.104955143972</v>
      </c>
      <c r="H52" s="2">
        <v>1425.5617115226996</v>
      </c>
      <c r="I52" s="2">
        <v>0.59271615168307767</v>
      </c>
      <c r="K52" s="2">
        <v>57.291666666666671</v>
      </c>
      <c r="L52" s="2">
        <v>36916.666666666672</v>
      </c>
    </row>
    <row r="53" spans="1:12" x14ac:dyDescent="0.2">
      <c r="F53" s="2">
        <v>29</v>
      </c>
      <c r="G53" s="2">
        <v>32671.14688512366</v>
      </c>
      <c r="H53" s="2">
        <v>-2141.7351204177794</v>
      </c>
      <c r="I53" s="2">
        <v>-0.89048477399310777</v>
      </c>
      <c r="K53" s="2">
        <v>59.375</v>
      </c>
      <c r="L53" s="2">
        <v>37350</v>
      </c>
    </row>
    <row r="54" spans="1:12" x14ac:dyDescent="0.2">
      <c r="F54" s="2">
        <v>30</v>
      </c>
      <c r="G54" s="2">
        <v>31031.230745083027</v>
      </c>
      <c r="H54" s="2">
        <v>468.7692549169733</v>
      </c>
      <c r="I54" s="2">
        <v>0.19490359944148078</v>
      </c>
      <c r="K54" s="2">
        <v>61.458333333333336</v>
      </c>
      <c r="L54" s="2">
        <v>38250</v>
      </c>
    </row>
    <row r="55" spans="1:12" x14ac:dyDescent="0.2">
      <c r="F55" s="2">
        <v>31</v>
      </c>
      <c r="G55" s="2">
        <v>32671.14688512366</v>
      </c>
      <c r="H55" s="2">
        <v>-1788.793943947192</v>
      </c>
      <c r="I55" s="2">
        <v>-0.74373985639519047</v>
      </c>
      <c r="K55" s="2">
        <v>63.541666666666671</v>
      </c>
      <c r="L55" s="2">
        <v>38289.473684210527</v>
      </c>
    </row>
    <row r="56" spans="1:12" x14ac:dyDescent="0.2">
      <c r="F56" s="2">
        <v>32</v>
      </c>
      <c r="G56" s="2">
        <v>44970.51793542839</v>
      </c>
      <c r="H56" s="2">
        <v>-1939.26793542839</v>
      </c>
      <c r="I56" s="2">
        <v>-0.80630352125671523</v>
      </c>
      <c r="K56" s="2">
        <v>65.625000000000014</v>
      </c>
      <c r="L56" s="2">
        <v>38500</v>
      </c>
    </row>
    <row r="57" spans="1:12" x14ac:dyDescent="0.2">
      <c r="F57" s="2">
        <v>33</v>
      </c>
      <c r="G57" s="2">
        <v>44970.51793542839</v>
      </c>
      <c r="H57" s="2">
        <v>-1892.39293542839</v>
      </c>
      <c r="I57" s="2">
        <v>-0.78681396188824182</v>
      </c>
      <c r="K57" s="2">
        <v>67.708333333333343</v>
      </c>
      <c r="L57" s="2">
        <v>38520</v>
      </c>
    </row>
    <row r="58" spans="1:12" x14ac:dyDescent="0.2">
      <c r="F58" s="2">
        <v>34</v>
      </c>
      <c r="G58" s="2">
        <v>31031.230745083027</v>
      </c>
      <c r="H58" s="2">
        <v>-1231.2307450830267</v>
      </c>
      <c r="I58" s="2">
        <v>-0.51191775365515602</v>
      </c>
      <c r="K58" s="2">
        <v>69.791666666666671</v>
      </c>
      <c r="L58" s="2">
        <v>38804.347826086952</v>
      </c>
    </row>
    <row r="59" spans="1:12" x14ac:dyDescent="0.2">
      <c r="F59" s="2">
        <v>35</v>
      </c>
      <c r="G59" s="2">
        <v>31851.188815103342</v>
      </c>
      <c r="H59" s="2">
        <v>-69.938815103341767</v>
      </c>
      <c r="I59" s="2">
        <v>-2.9078969367835016E-2</v>
      </c>
      <c r="K59" s="2">
        <v>71.875000000000014</v>
      </c>
      <c r="L59" s="2">
        <v>38804.347826086952</v>
      </c>
    </row>
    <row r="60" spans="1:12" x14ac:dyDescent="0.2">
      <c r="F60" s="2">
        <v>36</v>
      </c>
      <c r="G60" s="2">
        <v>31851.188815103342</v>
      </c>
      <c r="H60" s="2">
        <v>-163.68881510334177</v>
      </c>
      <c r="I60" s="2">
        <v>-6.8058088104781894E-2</v>
      </c>
      <c r="K60" s="2">
        <v>73.958333333333343</v>
      </c>
      <c r="L60" s="2">
        <v>39000</v>
      </c>
    </row>
    <row r="61" spans="1:12" x14ac:dyDescent="0.2">
      <c r="F61" s="2">
        <v>37</v>
      </c>
      <c r="G61" s="2">
        <v>37590.895305245547</v>
      </c>
      <c r="H61" s="2">
        <v>1213.4525208414052</v>
      </c>
      <c r="I61" s="2">
        <v>0.50452597217626294</v>
      </c>
      <c r="K61" s="2">
        <v>76.041666666666671</v>
      </c>
      <c r="L61" s="2">
        <v>39300</v>
      </c>
    </row>
    <row r="62" spans="1:12" x14ac:dyDescent="0.2">
      <c r="F62" s="2">
        <v>38</v>
      </c>
      <c r="G62" s="2">
        <v>37590.895305245547</v>
      </c>
      <c r="H62" s="2">
        <v>-1525.6779139412029</v>
      </c>
      <c r="I62" s="2">
        <v>-0.63434219265975011</v>
      </c>
      <c r="K62" s="2">
        <v>78.125000000000014</v>
      </c>
      <c r="L62" s="2">
        <v>39980.769230769227</v>
      </c>
    </row>
    <row r="63" spans="1:12" x14ac:dyDescent="0.2">
      <c r="F63" s="2">
        <v>39</v>
      </c>
      <c r="G63" s="2">
        <v>32671.14688512366</v>
      </c>
      <c r="H63" s="2">
        <v>-2229.9704145354262</v>
      </c>
      <c r="I63" s="2">
        <v>-0.92717100339258707</v>
      </c>
      <c r="K63" s="2">
        <v>80.208333333333343</v>
      </c>
      <c r="L63" s="2">
        <v>40000</v>
      </c>
    </row>
    <row r="64" spans="1:12" x14ac:dyDescent="0.2">
      <c r="F64" s="2">
        <v>40</v>
      </c>
      <c r="G64" s="2">
        <v>45790.476005448705</v>
      </c>
      <c r="H64" s="2">
        <v>-2835.9305509032492</v>
      </c>
      <c r="I64" s="2">
        <v>-1.1791154525161913</v>
      </c>
      <c r="K64" s="2">
        <v>82.291666666666671</v>
      </c>
      <c r="L64" s="2">
        <v>40500</v>
      </c>
    </row>
    <row r="65" spans="6:12" x14ac:dyDescent="0.2">
      <c r="F65" s="2">
        <v>41</v>
      </c>
      <c r="G65" s="2">
        <v>39230.811445286177</v>
      </c>
      <c r="H65" s="2">
        <v>69.188554713822668</v>
      </c>
      <c r="I65" s="2">
        <v>2.8767028153896958E-2</v>
      </c>
      <c r="K65" s="2">
        <v>84.375000000000014</v>
      </c>
      <c r="L65" s="2">
        <v>40680</v>
      </c>
    </row>
    <row r="66" spans="6:12" x14ac:dyDescent="0.2">
      <c r="F66" s="2">
        <v>42</v>
      </c>
      <c r="G66" s="2">
        <v>47430.392145489328</v>
      </c>
      <c r="H66" s="2">
        <v>-887.53500263218302</v>
      </c>
      <c r="I66" s="2">
        <v>-0.36901687734182748</v>
      </c>
      <c r="K66" s="2">
        <v>86.458333333333343</v>
      </c>
      <c r="L66" s="2">
        <v>42954.545454545456</v>
      </c>
    </row>
    <row r="67" spans="6:12" x14ac:dyDescent="0.2">
      <c r="F67" s="2">
        <v>43</v>
      </c>
      <c r="G67" s="2">
        <v>33491.104955143972</v>
      </c>
      <c r="H67" s="2">
        <v>3425.5617115226996</v>
      </c>
      <c r="I67" s="2">
        <v>1.4242706847379445</v>
      </c>
      <c r="K67" s="2">
        <v>88.541666666666671</v>
      </c>
      <c r="L67" s="2">
        <v>43031.25</v>
      </c>
    </row>
    <row r="68" spans="6:12" x14ac:dyDescent="0.2">
      <c r="F68" s="2">
        <v>44</v>
      </c>
      <c r="G68" s="2">
        <v>39230.811445286177</v>
      </c>
      <c r="H68" s="2">
        <v>1449.1885547138227</v>
      </c>
      <c r="I68" s="2">
        <v>0.60253965596175507</v>
      </c>
      <c r="K68" s="2">
        <v>90.625000000000014</v>
      </c>
      <c r="L68" s="2">
        <v>43078.125</v>
      </c>
    </row>
    <row r="69" spans="6:12" x14ac:dyDescent="0.2">
      <c r="F69" s="2">
        <v>45</v>
      </c>
      <c r="G69" s="2">
        <v>39230.811445286177</v>
      </c>
      <c r="H69" s="2">
        <v>1269.1885547138227</v>
      </c>
      <c r="I69" s="2">
        <v>0.52769974798681707</v>
      </c>
      <c r="K69" s="2">
        <v>92.708333333333343</v>
      </c>
      <c r="L69" s="2">
        <v>44089.28571428571</v>
      </c>
    </row>
    <row r="70" spans="6:12" x14ac:dyDescent="0.2">
      <c r="F70" s="2">
        <v>46</v>
      </c>
      <c r="G70" s="2">
        <v>31031.230745083027</v>
      </c>
      <c r="H70" s="2">
        <v>-2331.2307450830267</v>
      </c>
      <c r="I70" s="2">
        <v>-0.96927274683533282</v>
      </c>
      <c r="K70" s="2">
        <v>94.791666666666671</v>
      </c>
      <c r="L70" s="2">
        <v>44482.758620689659</v>
      </c>
    </row>
    <row r="71" spans="6:12" x14ac:dyDescent="0.2">
      <c r="F71" s="2">
        <v>47</v>
      </c>
      <c r="G71" s="2">
        <v>40050.7695153065</v>
      </c>
      <c r="H71" s="2">
        <v>-70.000284537272819</v>
      </c>
      <c r="I71" s="2">
        <v>-2.9104526961049856E-2</v>
      </c>
      <c r="K71" s="2">
        <v>96.875000000000014</v>
      </c>
      <c r="L71" s="2">
        <v>45000</v>
      </c>
    </row>
    <row r="72" spans="6:12" ht="16" thickBot="1" x14ac:dyDescent="0.25">
      <c r="F72" s="3">
        <v>48</v>
      </c>
      <c r="G72" s="3">
        <v>31031.230745083027</v>
      </c>
      <c r="H72" s="3">
        <v>568.7692549169733</v>
      </c>
      <c r="I72" s="3">
        <v>0.23648132609422412</v>
      </c>
      <c r="K72" s="3">
        <v>98.958333333333343</v>
      </c>
      <c r="L72" s="3">
        <v>46542.857142857145</v>
      </c>
    </row>
  </sheetData>
  <sortState xmlns:xlrd2="http://schemas.microsoft.com/office/spreadsheetml/2017/richdata2" ref="L25:L72">
    <sortCondition ref="L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28DE-5CCB-374C-A823-EA65C785A236}">
  <dimension ref="A1:N73"/>
  <sheetViews>
    <sheetView tabSelected="1" zoomScale="184" workbookViewId="0">
      <selection activeCell="I7" sqref="I7"/>
    </sheetView>
  </sheetViews>
  <sheetFormatPr baseColWidth="10" defaultRowHeight="15" x14ac:dyDescent="0.2"/>
  <cols>
    <col min="1" max="1" width="12.83203125" bestFit="1" customWidth="1"/>
    <col min="2" max="3" width="11" bestFit="1" customWidth="1"/>
    <col min="6" max="6" width="15.83203125" bestFit="1" customWidth="1"/>
    <col min="7" max="7" width="21.5" bestFit="1" customWidth="1"/>
    <col min="8" max="8" width="13.1640625" bestFit="1" customWidth="1"/>
    <col min="9" max="9" width="19.33203125" bestFit="1" customWidth="1"/>
    <col min="10" max="10" width="33.33203125" bestFit="1" customWidth="1"/>
    <col min="11" max="11" width="13.83203125" bestFit="1" customWidth="1"/>
    <col min="12" max="12" width="11.83203125" bestFit="1" customWidth="1"/>
    <col min="13" max="14" width="11" bestFit="1" customWidth="1"/>
  </cols>
  <sheetData>
    <row r="1" spans="1:14" x14ac:dyDescent="0.2">
      <c r="A1" s="1" t="s">
        <v>0</v>
      </c>
      <c r="B1" s="1" t="s">
        <v>2</v>
      </c>
      <c r="C1" s="1" t="s">
        <v>1</v>
      </c>
      <c r="F1" t="s">
        <v>3</v>
      </c>
    </row>
    <row r="2" spans="1:14" ht="16" thickBot="1" x14ac:dyDescent="0.25">
      <c r="A2">
        <v>0.17</v>
      </c>
      <c r="B2">
        <v>31323.529411764703</v>
      </c>
      <c r="C2">
        <v>355</v>
      </c>
    </row>
    <row r="3" spans="1:14" x14ac:dyDescent="0.2">
      <c r="A3">
        <v>0.16</v>
      </c>
      <c r="B3">
        <v>30750</v>
      </c>
      <c r="C3">
        <v>328</v>
      </c>
      <c r="F3" s="5" t="s">
        <v>4</v>
      </c>
      <c r="G3" s="5"/>
    </row>
    <row r="4" spans="1:14" x14ac:dyDescent="0.2">
      <c r="A4">
        <v>0.17</v>
      </c>
      <c r="B4">
        <v>30882.352941176468</v>
      </c>
      <c r="C4">
        <v>350</v>
      </c>
      <c r="F4" s="2" t="s">
        <v>5</v>
      </c>
      <c r="G4" s="2">
        <v>0.88847578799461902</v>
      </c>
      <c r="I4" t="s">
        <v>39</v>
      </c>
    </row>
    <row r="5" spans="1:14" x14ac:dyDescent="0.2">
      <c r="A5">
        <v>0.18</v>
      </c>
      <c r="B5">
        <v>27083.333333333336</v>
      </c>
      <c r="C5">
        <v>325</v>
      </c>
      <c r="F5" s="2" t="s">
        <v>6</v>
      </c>
      <c r="G5" s="2">
        <v>0.7893892258526588</v>
      </c>
      <c r="H5">
        <f>G4^2</f>
        <v>0.78938922585265925</v>
      </c>
      <c r="I5" t="s">
        <v>38</v>
      </c>
      <c r="L5" s="6" t="s">
        <v>18</v>
      </c>
      <c r="M5" s="7">
        <f>I18^2</f>
        <v>172.41237793380327</v>
      </c>
      <c r="N5" t="s">
        <v>36</v>
      </c>
    </row>
    <row r="6" spans="1:14" x14ac:dyDescent="0.2">
      <c r="A6">
        <v>0.25</v>
      </c>
      <c r="B6">
        <v>38520</v>
      </c>
      <c r="C6">
        <v>642</v>
      </c>
      <c r="F6" s="2" t="s">
        <v>7</v>
      </c>
      <c r="G6" s="2">
        <v>0.7848107307624993</v>
      </c>
      <c r="H6">
        <f>(1-G5)*G14/G13</f>
        <v>0.21518926923750079</v>
      </c>
      <c r="I6">
        <f>(1-H6)</f>
        <v>0.78481073076249919</v>
      </c>
      <c r="J6" t="s">
        <v>34</v>
      </c>
    </row>
    <row r="7" spans="1:14" x14ac:dyDescent="0.2">
      <c r="A7">
        <v>0.16</v>
      </c>
      <c r="B7">
        <v>32062.5</v>
      </c>
      <c r="C7">
        <v>342</v>
      </c>
      <c r="F7" s="2" t="s">
        <v>8</v>
      </c>
      <c r="G7" s="2">
        <v>2431.1361067134126</v>
      </c>
      <c r="H7">
        <f>SQRT(I13)</f>
        <v>2431.1361067134126</v>
      </c>
      <c r="I7" t="s">
        <v>35</v>
      </c>
    </row>
    <row r="8" spans="1:14" ht="16" thickBot="1" x14ac:dyDescent="0.25">
      <c r="A8">
        <v>0.15</v>
      </c>
      <c r="B8">
        <v>32200</v>
      </c>
      <c r="C8">
        <v>322</v>
      </c>
      <c r="F8" s="3" t="s">
        <v>9</v>
      </c>
      <c r="G8" s="3">
        <v>48</v>
      </c>
    </row>
    <row r="9" spans="1:14" x14ac:dyDescent="0.2">
      <c r="A9">
        <v>0.19</v>
      </c>
      <c r="B9">
        <v>38289.473684210527</v>
      </c>
      <c r="C9">
        <v>485</v>
      </c>
      <c r="I9">
        <f>H12/H14</f>
        <v>0.7893892258526588</v>
      </c>
      <c r="J9">
        <f>SQRT(I9)</f>
        <v>0.88847578799461879</v>
      </c>
    </row>
    <row r="10" spans="1:14" ht="16" thickBot="1" x14ac:dyDescent="0.25">
      <c r="A10">
        <v>0.21</v>
      </c>
      <c r="B10">
        <v>34500</v>
      </c>
      <c r="C10">
        <v>483</v>
      </c>
      <c r="F10" t="s">
        <v>10</v>
      </c>
    </row>
    <row r="11" spans="1:14" x14ac:dyDescent="0.2">
      <c r="A11">
        <v>0.15</v>
      </c>
      <c r="B11">
        <v>32300</v>
      </c>
      <c r="C11">
        <v>323</v>
      </c>
      <c r="F11" s="4"/>
      <c r="G11" s="4" t="s">
        <v>15</v>
      </c>
      <c r="H11" s="4" t="s">
        <v>16</v>
      </c>
      <c r="I11" s="4" t="s">
        <v>17</v>
      </c>
      <c r="J11" s="4" t="s">
        <v>18</v>
      </c>
      <c r="K11" s="4" t="s">
        <v>19</v>
      </c>
    </row>
    <row r="12" spans="1:14" x14ac:dyDescent="0.2">
      <c r="A12">
        <v>0.18</v>
      </c>
      <c r="B12">
        <v>38500</v>
      </c>
      <c r="C12">
        <v>462</v>
      </c>
      <c r="F12" s="2" t="s">
        <v>11</v>
      </c>
      <c r="G12" s="2">
        <v>1</v>
      </c>
      <c r="H12" s="2">
        <v>1019030044.2604268</v>
      </c>
      <c r="I12" s="2">
        <v>1019030044.2604268</v>
      </c>
      <c r="J12" s="2">
        <v>172.41237793380333</v>
      </c>
      <c r="K12" s="2">
        <v>3.607663875152204E-17</v>
      </c>
      <c r="L12">
        <f>_xlfn.F.DIST.RT(J12,1,46)</f>
        <v>3.607663875152204E-17</v>
      </c>
    </row>
    <row r="13" spans="1:14" x14ac:dyDescent="0.2">
      <c r="A13">
        <v>0.28000000000000003</v>
      </c>
      <c r="B13">
        <v>44089.28571428571</v>
      </c>
      <c r="C13">
        <v>823</v>
      </c>
      <c r="F13" s="2" t="s">
        <v>12</v>
      </c>
      <c r="G13" s="2">
        <v>46</v>
      </c>
      <c r="H13" s="2">
        <v>271879447.39081985</v>
      </c>
      <c r="I13" s="2">
        <v>5910422.7693656487</v>
      </c>
      <c r="J13" s="2"/>
      <c r="K13" s="2"/>
      <c r="L13">
        <f>H13/G13</f>
        <v>5910422.7693656487</v>
      </c>
    </row>
    <row r="14" spans="1:14" ht="16" thickBot="1" x14ac:dyDescent="0.25">
      <c r="A14">
        <v>0.16</v>
      </c>
      <c r="B14">
        <v>31500</v>
      </c>
      <c r="C14">
        <v>336</v>
      </c>
      <c r="F14" s="3" t="s">
        <v>13</v>
      </c>
      <c r="G14" s="3">
        <v>47</v>
      </c>
      <c r="H14" s="3">
        <v>1290909491.6512465</v>
      </c>
      <c r="I14" s="3"/>
      <c r="J14" s="3"/>
      <c r="K14" s="3"/>
    </row>
    <row r="15" spans="1:14" ht="16" thickBot="1" x14ac:dyDescent="0.25">
      <c r="A15">
        <v>0.2</v>
      </c>
      <c r="B15">
        <v>37350</v>
      </c>
      <c r="C15">
        <v>498</v>
      </c>
    </row>
    <row r="16" spans="1:14" x14ac:dyDescent="0.2">
      <c r="A16">
        <v>0.23</v>
      </c>
      <c r="B16">
        <v>38804.347826086952</v>
      </c>
      <c r="C16">
        <v>595</v>
      </c>
      <c r="F16" s="4"/>
      <c r="G16" s="4" t="s">
        <v>20</v>
      </c>
      <c r="H16" s="4" t="s">
        <v>8</v>
      </c>
      <c r="I16" s="4" t="s">
        <v>21</v>
      </c>
      <c r="J16" s="4" t="s">
        <v>22</v>
      </c>
      <c r="K16" s="4" t="s">
        <v>23</v>
      </c>
      <c r="L16" s="4" t="s">
        <v>24</v>
      </c>
      <c r="M16" s="4" t="s">
        <v>25</v>
      </c>
      <c r="N16" s="4" t="s">
        <v>26</v>
      </c>
    </row>
    <row r="17" spans="1:14" x14ac:dyDescent="0.2">
      <c r="A17">
        <v>0.28999999999999998</v>
      </c>
      <c r="B17">
        <v>44482.758620689659</v>
      </c>
      <c r="C17">
        <v>860</v>
      </c>
      <c r="F17" s="2" t="s">
        <v>14</v>
      </c>
      <c r="G17" s="2">
        <v>18731.859694778301</v>
      </c>
      <c r="H17" s="2">
        <v>1322.3557155056949</v>
      </c>
      <c r="I17" s="2">
        <v>14.165522540668922</v>
      </c>
      <c r="J17" s="8">
        <v>2.1679326325191601E-18</v>
      </c>
      <c r="K17" s="2">
        <v>16070.095694830934</v>
      </c>
      <c r="L17" s="2">
        <v>21393.623694725669</v>
      </c>
      <c r="M17" s="2">
        <v>16070.095694830934</v>
      </c>
      <c r="N17" s="2">
        <v>21393.623694725669</v>
      </c>
    </row>
    <row r="18" spans="1:14" ht="16" thickBot="1" x14ac:dyDescent="0.25">
      <c r="A18">
        <v>0.12</v>
      </c>
      <c r="B18">
        <v>27875</v>
      </c>
      <c r="C18">
        <v>223</v>
      </c>
      <c r="F18" s="3" t="s">
        <v>0</v>
      </c>
      <c r="G18" s="3">
        <v>81995.807002031521</v>
      </c>
      <c r="H18" s="3">
        <v>6244.6402456028072</v>
      </c>
      <c r="I18" s="3">
        <v>13.130589397807064</v>
      </c>
      <c r="J18" s="9">
        <v>3.6076638751522298E-17</v>
      </c>
      <c r="K18" s="3">
        <v>69425.998134822483</v>
      </c>
      <c r="L18" s="3">
        <v>94565.615869240559</v>
      </c>
      <c r="M18" s="3">
        <v>69425.998134822483</v>
      </c>
      <c r="N18" s="3">
        <v>94565.615869240559</v>
      </c>
    </row>
    <row r="19" spans="1:14" x14ac:dyDescent="0.2">
      <c r="A19">
        <v>0.26</v>
      </c>
      <c r="B19">
        <v>38250</v>
      </c>
      <c r="C19">
        <v>663</v>
      </c>
      <c r="G19">
        <f>G18^2/H18^2</f>
        <v>172.41237793380327</v>
      </c>
      <c r="I19" t="s">
        <v>37</v>
      </c>
      <c r="J19" s="10">
        <f>_xlfn.T.DIST.2T(I18,46)</f>
        <v>3.6076638751522298E-17</v>
      </c>
      <c r="K19">
        <f>_xlfn.T.INV.2T(0.05,46)</f>
        <v>2.0128955989194299</v>
      </c>
    </row>
    <row r="20" spans="1:14" x14ac:dyDescent="0.2">
      <c r="A20">
        <v>0.25</v>
      </c>
      <c r="B20">
        <v>45000</v>
      </c>
      <c r="C20">
        <v>750</v>
      </c>
      <c r="J20" s="10">
        <f>_xlfn.T.DIST.2T(I17,46)</f>
        <v>2.1679326325191597E-18</v>
      </c>
      <c r="K20">
        <f>G17-K19*H17</f>
        <v>16070.095694830934</v>
      </c>
      <c r="L20">
        <f>G17+K19*H17</f>
        <v>21393.623694725669</v>
      </c>
    </row>
    <row r="21" spans="1:14" x14ac:dyDescent="0.2">
      <c r="A21">
        <v>0.27</v>
      </c>
      <c r="B21">
        <v>40000</v>
      </c>
      <c r="C21">
        <v>720</v>
      </c>
      <c r="K21">
        <f>G18-K19*H18</f>
        <v>69425.998134822483</v>
      </c>
      <c r="L21">
        <f>G18+K19*H18</f>
        <v>94565.615869240559</v>
      </c>
    </row>
    <row r="22" spans="1:14" x14ac:dyDescent="0.2">
      <c r="A22">
        <v>0.18</v>
      </c>
      <c r="B22">
        <v>39000</v>
      </c>
      <c r="C22">
        <v>468</v>
      </c>
      <c r="F22" t="s">
        <v>27</v>
      </c>
      <c r="J22" t="s">
        <v>32</v>
      </c>
    </row>
    <row r="23" spans="1:14" ht="16" thickBot="1" x14ac:dyDescent="0.25">
      <c r="A23">
        <v>0.16</v>
      </c>
      <c r="B23">
        <v>32343.75</v>
      </c>
      <c r="C23">
        <v>345</v>
      </c>
    </row>
    <row r="24" spans="1:14" x14ac:dyDescent="0.2">
      <c r="A24">
        <v>0.17</v>
      </c>
      <c r="B24">
        <v>31058.823529411762</v>
      </c>
      <c r="C24">
        <v>352</v>
      </c>
      <c r="F24" s="4" t="s">
        <v>28</v>
      </c>
      <c r="G24" s="4" t="s">
        <v>29</v>
      </c>
      <c r="H24" s="4" t="s">
        <v>30</v>
      </c>
      <c r="J24" s="4" t="s">
        <v>33</v>
      </c>
      <c r="K24" s="4" t="s">
        <v>2</v>
      </c>
    </row>
    <row r="25" spans="1:14" x14ac:dyDescent="0.2">
      <c r="A25">
        <v>0.16</v>
      </c>
      <c r="B25">
        <v>31125</v>
      </c>
      <c r="C25">
        <v>332</v>
      </c>
      <c r="F25" s="2">
        <v>1</v>
      </c>
      <c r="G25" s="2">
        <v>32671.14688512366</v>
      </c>
      <c r="H25" s="2">
        <v>-1347.6174733589578</v>
      </c>
      <c r="I25">
        <f>H25^2</f>
        <v>1816072.8545023813</v>
      </c>
      <c r="J25" s="2">
        <v>1.0416666666666667</v>
      </c>
      <c r="K25" s="2">
        <v>27083.333333333336</v>
      </c>
    </row>
    <row r="26" spans="1:14" x14ac:dyDescent="0.2">
      <c r="A26">
        <v>0.17</v>
      </c>
      <c r="B26">
        <v>31147.058823529409</v>
      </c>
      <c r="C26">
        <v>353</v>
      </c>
      <c r="F26" s="2">
        <v>2</v>
      </c>
      <c r="G26" s="2">
        <v>31851.188815103342</v>
      </c>
      <c r="H26" s="2">
        <v>-1101.1888151033418</v>
      </c>
      <c r="I26">
        <f t="shared" ref="I26:I72" si="0">H26^2</f>
        <v>1212616.8065087018</v>
      </c>
      <c r="J26" s="2">
        <v>3.125</v>
      </c>
      <c r="K26" s="2">
        <v>27875</v>
      </c>
    </row>
    <row r="27" spans="1:14" x14ac:dyDescent="0.2">
      <c r="A27">
        <v>0.18</v>
      </c>
      <c r="B27">
        <v>36500</v>
      </c>
      <c r="C27">
        <v>438</v>
      </c>
      <c r="F27" s="2">
        <v>3</v>
      </c>
      <c r="G27" s="2">
        <v>32671.14688512366</v>
      </c>
      <c r="H27" s="2">
        <v>-1788.793943947192</v>
      </c>
      <c r="I27">
        <f t="shared" si="0"/>
        <v>3199783.7739021499</v>
      </c>
      <c r="J27" s="2">
        <v>5.2083333333333339</v>
      </c>
      <c r="K27" s="2">
        <v>28058.823529411762</v>
      </c>
    </row>
    <row r="28" spans="1:14" x14ac:dyDescent="0.2">
      <c r="A28">
        <v>0.17</v>
      </c>
      <c r="B28">
        <v>28058.823529411762</v>
      </c>
      <c r="C28">
        <v>318</v>
      </c>
      <c r="F28" s="2">
        <v>4</v>
      </c>
      <c r="G28" s="2">
        <v>33491.104955143972</v>
      </c>
      <c r="H28" s="2">
        <v>-6407.7716218106361</v>
      </c>
      <c r="I28">
        <f t="shared" si="0"/>
        <v>41059537.157281712</v>
      </c>
      <c r="J28" s="2">
        <v>7.291666666666667</v>
      </c>
      <c r="K28" s="2">
        <v>28700</v>
      </c>
    </row>
    <row r="29" spans="1:14" x14ac:dyDescent="0.2">
      <c r="A29">
        <v>0.18</v>
      </c>
      <c r="B29">
        <v>34916.666666666672</v>
      </c>
      <c r="C29">
        <v>419</v>
      </c>
      <c r="F29" s="2">
        <v>5</v>
      </c>
      <c r="G29" s="2">
        <v>39230.811445286177</v>
      </c>
      <c r="H29" s="2">
        <v>-710.81144528617733</v>
      </c>
      <c r="I29">
        <f t="shared" si="0"/>
        <v>505252.91074982425</v>
      </c>
      <c r="J29" s="2">
        <v>9.375</v>
      </c>
      <c r="K29" s="2">
        <v>29800</v>
      </c>
    </row>
    <row r="30" spans="1:14" x14ac:dyDescent="0.2">
      <c r="A30">
        <v>0.17</v>
      </c>
      <c r="B30">
        <v>30529.411764705881</v>
      </c>
      <c r="C30">
        <v>346</v>
      </c>
      <c r="F30" s="2">
        <v>6</v>
      </c>
      <c r="G30" s="2">
        <v>31851.188815103342</v>
      </c>
      <c r="H30" s="2">
        <v>211.31118489665823</v>
      </c>
      <c r="I30">
        <f t="shared" si="0"/>
        <v>44652.41686242968</v>
      </c>
      <c r="J30" s="2">
        <v>11.458333333333334</v>
      </c>
      <c r="K30" s="2">
        <v>30441.176470588234</v>
      </c>
    </row>
    <row r="31" spans="1:14" x14ac:dyDescent="0.2">
      <c r="A31">
        <v>0.15</v>
      </c>
      <c r="B31">
        <v>31500</v>
      </c>
      <c r="C31">
        <v>315</v>
      </c>
      <c r="F31" s="2">
        <v>7</v>
      </c>
      <c r="G31" s="2">
        <v>31031.230745083027</v>
      </c>
      <c r="H31" s="2">
        <v>1168.7692549169733</v>
      </c>
      <c r="I31">
        <f t="shared" si="0"/>
        <v>1366021.5712391769</v>
      </c>
      <c r="J31" s="2">
        <v>13.541666666666666</v>
      </c>
      <c r="K31" s="2">
        <v>30529.411764705881</v>
      </c>
    </row>
    <row r="32" spans="1:14" x14ac:dyDescent="0.2">
      <c r="A32">
        <v>0.17</v>
      </c>
      <c r="B32">
        <v>30882.352941176468</v>
      </c>
      <c r="C32">
        <v>350</v>
      </c>
      <c r="F32" s="2">
        <v>8</v>
      </c>
      <c r="G32" s="2">
        <v>34311.063025164287</v>
      </c>
      <c r="H32" s="2">
        <v>3978.4106590462397</v>
      </c>
      <c r="I32">
        <f t="shared" si="0"/>
        <v>15827751.372012736</v>
      </c>
      <c r="J32" s="2">
        <v>15.625</v>
      </c>
      <c r="K32" s="2">
        <v>30750</v>
      </c>
    </row>
    <row r="33" spans="1:11" x14ac:dyDescent="0.2">
      <c r="A33">
        <v>0.32</v>
      </c>
      <c r="B33">
        <v>43031.25</v>
      </c>
      <c r="C33">
        <v>918</v>
      </c>
      <c r="F33" s="2">
        <v>9</v>
      </c>
      <c r="G33" s="2">
        <v>35950.979165204917</v>
      </c>
      <c r="H33" s="2">
        <v>-1450.9791652049171</v>
      </c>
      <c r="I33">
        <f t="shared" si="0"/>
        <v>2105340.5378587581</v>
      </c>
      <c r="J33" s="2">
        <v>17.708333333333336</v>
      </c>
      <c r="K33" s="2">
        <v>30882.352941176468</v>
      </c>
    </row>
    <row r="34" spans="1:11" x14ac:dyDescent="0.2">
      <c r="A34">
        <v>0.32</v>
      </c>
      <c r="B34">
        <v>43078.125</v>
      </c>
      <c r="C34">
        <v>919</v>
      </c>
      <c r="F34" s="2">
        <v>10</v>
      </c>
      <c r="G34" s="2">
        <v>31031.230745083027</v>
      </c>
      <c r="H34" s="2">
        <v>1268.7692549169733</v>
      </c>
      <c r="I34">
        <f t="shared" si="0"/>
        <v>1609775.4222225717</v>
      </c>
      <c r="J34" s="2">
        <v>19.791666666666668</v>
      </c>
      <c r="K34" s="2">
        <v>30882.352941176468</v>
      </c>
    </row>
    <row r="35" spans="1:11" x14ac:dyDescent="0.2">
      <c r="A35">
        <v>0.15</v>
      </c>
      <c r="B35">
        <v>29800</v>
      </c>
      <c r="C35">
        <v>298</v>
      </c>
      <c r="F35" s="2">
        <v>11</v>
      </c>
      <c r="G35" s="2">
        <v>33491.104955143972</v>
      </c>
      <c r="H35" s="2">
        <v>5008.8950448560281</v>
      </c>
      <c r="I35">
        <f t="shared" si="0"/>
        <v>25089029.570383273</v>
      </c>
      <c r="J35" s="2">
        <v>21.875000000000004</v>
      </c>
      <c r="K35" s="2">
        <v>31058.823529411762</v>
      </c>
    </row>
    <row r="36" spans="1:11" x14ac:dyDescent="0.2">
      <c r="A36">
        <v>0.16</v>
      </c>
      <c r="B36">
        <v>31781.25</v>
      </c>
      <c r="C36">
        <v>339</v>
      </c>
      <c r="F36" s="2">
        <v>12</v>
      </c>
      <c r="G36" s="2">
        <v>41690.68565534713</v>
      </c>
      <c r="H36" s="2">
        <v>2398.6000589385803</v>
      </c>
      <c r="I36">
        <f t="shared" si="0"/>
        <v>5753282.2427401608</v>
      </c>
      <c r="J36" s="2">
        <v>23.958333333333336</v>
      </c>
      <c r="K36" s="2">
        <v>31125</v>
      </c>
    </row>
    <row r="37" spans="1:11" x14ac:dyDescent="0.2">
      <c r="A37">
        <v>0.16</v>
      </c>
      <c r="B37">
        <v>31687.5</v>
      </c>
      <c r="C37">
        <v>338</v>
      </c>
      <c r="F37" s="2">
        <v>13</v>
      </c>
      <c r="G37" s="2">
        <v>31851.188815103342</v>
      </c>
      <c r="H37" s="2">
        <v>-351.18881510334177</v>
      </c>
      <c r="I37">
        <f t="shared" si="0"/>
        <v>123333.58385368917</v>
      </c>
      <c r="J37" s="2">
        <v>26.041666666666668</v>
      </c>
      <c r="K37" s="2">
        <v>31147.058823529409</v>
      </c>
    </row>
    <row r="38" spans="1:11" x14ac:dyDescent="0.2">
      <c r="A38">
        <v>0.23</v>
      </c>
      <c r="B38">
        <v>38804.347826086952</v>
      </c>
      <c r="C38">
        <v>595</v>
      </c>
      <c r="F38" s="2">
        <v>14</v>
      </c>
      <c r="G38" s="2">
        <v>35131.021095184609</v>
      </c>
      <c r="H38" s="2">
        <v>2218.9789048153907</v>
      </c>
      <c r="I38">
        <f t="shared" si="0"/>
        <v>4923867.3800157104</v>
      </c>
      <c r="J38" s="2">
        <v>28.125000000000004</v>
      </c>
      <c r="K38" s="2">
        <v>31323.529411764703</v>
      </c>
    </row>
    <row r="39" spans="1:11" x14ac:dyDescent="0.2">
      <c r="A39">
        <v>0.23</v>
      </c>
      <c r="B39">
        <v>36065.217391304344</v>
      </c>
      <c r="C39">
        <v>553</v>
      </c>
      <c r="F39" s="2">
        <v>15</v>
      </c>
      <c r="G39" s="2">
        <v>37590.895305245547</v>
      </c>
      <c r="H39" s="2">
        <v>1213.4525208414052</v>
      </c>
      <c r="I39">
        <f t="shared" si="0"/>
        <v>1472467.0203363609</v>
      </c>
      <c r="J39" s="2">
        <v>30.208333333333336</v>
      </c>
      <c r="K39" s="2">
        <v>31500</v>
      </c>
    </row>
    <row r="40" spans="1:11" x14ac:dyDescent="0.2">
      <c r="A40">
        <v>0.17</v>
      </c>
      <c r="B40">
        <v>30441.176470588234</v>
      </c>
      <c r="C40">
        <v>345</v>
      </c>
      <c r="F40" s="2">
        <v>16</v>
      </c>
      <c r="G40" s="2">
        <v>42510.643725367438</v>
      </c>
      <c r="H40" s="2">
        <v>1972.1148953222219</v>
      </c>
      <c r="I40">
        <f t="shared" si="0"/>
        <v>3889237.1603517779</v>
      </c>
      <c r="J40" s="2">
        <v>32.291666666666671</v>
      </c>
      <c r="K40" s="2">
        <v>31500</v>
      </c>
    </row>
    <row r="41" spans="1:11" x14ac:dyDescent="0.2">
      <c r="A41">
        <v>0.33</v>
      </c>
      <c r="B41">
        <v>42954.545454545456</v>
      </c>
      <c r="C41">
        <v>945</v>
      </c>
      <c r="F41" s="2">
        <v>17</v>
      </c>
      <c r="G41" s="2">
        <v>28571.356535022082</v>
      </c>
      <c r="H41" s="2">
        <v>-696.35653502208152</v>
      </c>
      <c r="I41">
        <f t="shared" si="0"/>
        <v>484912.42386795941</v>
      </c>
      <c r="J41" s="2">
        <v>34.375</v>
      </c>
      <c r="K41" s="2">
        <v>31600</v>
      </c>
    </row>
    <row r="42" spans="1:11" x14ac:dyDescent="0.2">
      <c r="A42">
        <v>0.25</v>
      </c>
      <c r="B42">
        <v>39300</v>
      </c>
      <c r="C42">
        <v>655</v>
      </c>
      <c r="F42" s="2">
        <v>18</v>
      </c>
      <c r="G42" s="2">
        <v>40050.7695153065</v>
      </c>
      <c r="H42" s="2">
        <v>-1800.7695153064997</v>
      </c>
      <c r="I42">
        <f t="shared" si="0"/>
        <v>3242770.8472572058</v>
      </c>
      <c r="J42" s="2">
        <v>36.458333333333336</v>
      </c>
      <c r="K42" s="2">
        <v>31687.5</v>
      </c>
    </row>
    <row r="43" spans="1:11" x14ac:dyDescent="0.2">
      <c r="A43">
        <v>0.35</v>
      </c>
      <c r="B43">
        <v>46542.857142857145</v>
      </c>
      <c r="C43">
        <v>1086</v>
      </c>
      <c r="F43" s="2">
        <v>19</v>
      </c>
      <c r="G43" s="2">
        <v>39230.811445286177</v>
      </c>
      <c r="H43" s="2">
        <v>5769.1885547138227</v>
      </c>
      <c r="I43">
        <f t="shared" si="0"/>
        <v>33283536.579840966</v>
      </c>
      <c r="J43" s="2">
        <v>38.541666666666664</v>
      </c>
      <c r="K43" s="2">
        <v>31781.25</v>
      </c>
    </row>
    <row r="44" spans="1:11" x14ac:dyDescent="0.2">
      <c r="A44">
        <v>0.18</v>
      </c>
      <c r="B44">
        <v>36916.666666666672</v>
      </c>
      <c r="C44">
        <v>443</v>
      </c>
      <c r="F44" s="2">
        <v>20</v>
      </c>
      <c r="G44" s="2">
        <v>40870.727585326807</v>
      </c>
      <c r="H44" s="2">
        <v>-870.72758532680746</v>
      </c>
      <c r="I44">
        <f t="shared" si="0"/>
        <v>758166.5278490528</v>
      </c>
      <c r="J44" s="2">
        <v>40.625</v>
      </c>
      <c r="K44" s="2">
        <v>32062.5</v>
      </c>
    </row>
    <row r="45" spans="1:11" x14ac:dyDescent="0.2">
      <c r="A45">
        <v>0.25</v>
      </c>
      <c r="B45">
        <v>40680</v>
      </c>
      <c r="C45">
        <v>678</v>
      </c>
      <c r="F45" s="2">
        <v>21</v>
      </c>
      <c r="G45" s="2">
        <v>33491.104955143972</v>
      </c>
      <c r="H45" s="2">
        <v>5508.8950448560281</v>
      </c>
      <c r="I45">
        <f t="shared" si="0"/>
        <v>30347924.6152393</v>
      </c>
      <c r="J45" s="2">
        <v>42.708333333333336</v>
      </c>
      <c r="K45" s="2">
        <v>32200</v>
      </c>
    </row>
    <row r="46" spans="1:11" x14ac:dyDescent="0.2">
      <c r="A46">
        <v>0.25</v>
      </c>
      <c r="B46">
        <v>40500</v>
      </c>
      <c r="C46">
        <v>675</v>
      </c>
      <c r="F46" s="2">
        <v>22</v>
      </c>
      <c r="G46" s="2">
        <v>31851.188815103342</v>
      </c>
      <c r="H46" s="2">
        <v>492.56118489665823</v>
      </c>
      <c r="I46">
        <f t="shared" si="0"/>
        <v>242616.52086679992</v>
      </c>
      <c r="J46" s="2">
        <v>44.791666666666664</v>
      </c>
      <c r="K46" s="2">
        <v>32300</v>
      </c>
    </row>
    <row r="47" spans="1:11" x14ac:dyDescent="0.2">
      <c r="A47">
        <v>0.15</v>
      </c>
      <c r="B47">
        <v>28700</v>
      </c>
      <c r="C47">
        <v>287</v>
      </c>
      <c r="F47" s="2">
        <v>23</v>
      </c>
      <c r="G47" s="2">
        <v>32671.14688512366</v>
      </c>
      <c r="H47" s="2">
        <v>-1612.3233557118983</v>
      </c>
      <c r="I47">
        <f t="shared" si="0"/>
        <v>2599586.6033740765</v>
      </c>
      <c r="J47" s="2">
        <v>46.875</v>
      </c>
      <c r="K47" s="2">
        <v>32343.75</v>
      </c>
    </row>
    <row r="48" spans="1:11" x14ac:dyDescent="0.2">
      <c r="A48">
        <v>0.26</v>
      </c>
      <c r="B48">
        <v>39980.769230769227</v>
      </c>
      <c r="C48">
        <v>693</v>
      </c>
      <c r="F48" s="2">
        <v>24</v>
      </c>
      <c r="G48" s="2">
        <v>31851.188815103342</v>
      </c>
      <c r="H48" s="2">
        <v>-726.18881510334177</v>
      </c>
      <c r="I48">
        <f t="shared" si="0"/>
        <v>527350.19518119551</v>
      </c>
      <c r="J48" s="2">
        <v>48.958333333333336</v>
      </c>
      <c r="K48" s="2">
        <v>34500</v>
      </c>
    </row>
    <row r="49" spans="1:11" x14ac:dyDescent="0.2">
      <c r="A49">
        <v>0.15</v>
      </c>
      <c r="B49">
        <v>31600</v>
      </c>
      <c r="C49">
        <v>316</v>
      </c>
      <c r="F49" s="2">
        <v>25</v>
      </c>
      <c r="G49" s="2">
        <v>32671.14688512366</v>
      </c>
      <c r="H49" s="2">
        <v>-1524.0880615942515</v>
      </c>
      <c r="I49">
        <f t="shared" si="0"/>
        <v>2322844.4194941227</v>
      </c>
      <c r="J49" s="2">
        <v>51.041666666666664</v>
      </c>
      <c r="K49" s="2">
        <v>34916.666666666672</v>
      </c>
    </row>
    <row r="50" spans="1:11" x14ac:dyDescent="0.2">
      <c r="F50" s="2">
        <v>26</v>
      </c>
      <c r="G50" s="2">
        <v>33491.104955143972</v>
      </c>
      <c r="H50" s="2">
        <v>3008.8950448560281</v>
      </c>
      <c r="I50">
        <f t="shared" si="0"/>
        <v>9053449.3909591585</v>
      </c>
      <c r="J50" s="2">
        <v>53.125</v>
      </c>
      <c r="K50" s="2">
        <v>36065.217391304344</v>
      </c>
    </row>
    <row r="51" spans="1:11" x14ac:dyDescent="0.2">
      <c r="F51" s="2">
        <v>27</v>
      </c>
      <c r="G51" s="2">
        <v>32671.14688512366</v>
      </c>
      <c r="H51" s="2">
        <v>-4612.3233557118983</v>
      </c>
      <c r="I51">
        <f t="shared" si="0"/>
        <v>21273526.737645466</v>
      </c>
      <c r="J51" s="2">
        <v>55.208333333333336</v>
      </c>
      <c r="K51" s="2">
        <v>36500</v>
      </c>
    </row>
    <row r="52" spans="1:11" x14ac:dyDescent="0.2">
      <c r="F52" s="2">
        <v>28</v>
      </c>
      <c r="G52" s="2">
        <v>33491.104955143972</v>
      </c>
      <c r="H52" s="2">
        <v>1425.5617115226996</v>
      </c>
      <c r="I52">
        <f t="shared" si="0"/>
        <v>2032226.1933595287</v>
      </c>
      <c r="J52" s="2">
        <v>57.291666666666671</v>
      </c>
      <c r="K52" s="2">
        <v>36916.666666666672</v>
      </c>
    </row>
    <row r="53" spans="1:11" x14ac:dyDescent="0.2">
      <c r="F53" s="2">
        <v>29</v>
      </c>
      <c r="G53" s="2">
        <v>32671.14688512366</v>
      </c>
      <c r="H53" s="2">
        <v>-2141.7351204177794</v>
      </c>
      <c r="I53">
        <f t="shared" si="0"/>
        <v>4587029.3260309603</v>
      </c>
      <c r="J53" s="2">
        <v>59.375</v>
      </c>
      <c r="K53" s="2">
        <v>37350</v>
      </c>
    </row>
    <row r="54" spans="1:11" x14ac:dyDescent="0.2">
      <c r="F54" s="2">
        <v>30</v>
      </c>
      <c r="G54" s="2">
        <v>31031.230745083027</v>
      </c>
      <c r="H54" s="2">
        <v>468.7692549169733</v>
      </c>
      <c r="I54">
        <f t="shared" si="0"/>
        <v>219744.61435541429</v>
      </c>
      <c r="J54" s="2">
        <v>61.458333333333336</v>
      </c>
      <c r="K54" s="2">
        <v>38250</v>
      </c>
    </row>
    <row r="55" spans="1:11" x14ac:dyDescent="0.2">
      <c r="F55" s="2">
        <v>31</v>
      </c>
      <c r="G55" s="2">
        <v>32671.14688512366</v>
      </c>
      <c r="H55" s="2">
        <v>-1788.793943947192</v>
      </c>
      <c r="I55">
        <f t="shared" si="0"/>
        <v>3199783.7739021499</v>
      </c>
      <c r="J55" s="2">
        <v>63.541666666666671</v>
      </c>
      <c r="K55" s="2">
        <v>38289.473684210527</v>
      </c>
    </row>
    <row r="56" spans="1:11" x14ac:dyDescent="0.2">
      <c r="F56" s="2">
        <v>32</v>
      </c>
      <c r="G56" s="2">
        <v>44970.51793542839</v>
      </c>
      <c r="H56" s="2">
        <v>-1939.26793542839</v>
      </c>
      <c r="I56">
        <f t="shared" si="0"/>
        <v>3760760.1253806902</v>
      </c>
      <c r="J56" s="2">
        <v>65.625000000000014</v>
      </c>
      <c r="K56" s="2">
        <v>38500</v>
      </c>
    </row>
    <row r="57" spans="1:11" x14ac:dyDescent="0.2">
      <c r="F57" s="2">
        <v>33</v>
      </c>
      <c r="G57" s="2">
        <v>44970.51793542839</v>
      </c>
      <c r="H57" s="2">
        <v>-1892.39293542839</v>
      </c>
      <c r="I57">
        <f t="shared" si="0"/>
        <v>3581151.022059279</v>
      </c>
      <c r="J57" s="2">
        <v>67.708333333333343</v>
      </c>
      <c r="K57" s="2">
        <v>38520</v>
      </c>
    </row>
    <row r="58" spans="1:11" x14ac:dyDescent="0.2">
      <c r="F58" s="2">
        <v>34</v>
      </c>
      <c r="G58" s="2">
        <v>31031.230745083027</v>
      </c>
      <c r="H58" s="2">
        <v>-1231.2307450830267</v>
      </c>
      <c r="I58">
        <f t="shared" si="0"/>
        <v>1515929.1476377051</v>
      </c>
      <c r="J58" s="2">
        <v>69.791666666666671</v>
      </c>
      <c r="K58" s="2">
        <v>38804.347826086952</v>
      </c>
    </row>
    <row r="59" spans="1:11" x14ac:dyDescent="0.2">
      <c r="F59" s="2">
        <v>35</v>
      </c>
      <c r="G59" s="2">
        <v>31851.188815103342</v>
      </c>
      <c r="H59" s="2">
        <v>-69.938815103341767</v>
      </c>
      <c r="I59">
        <f t="shared" si="0"/>
        <v>4891.4378580594266</v>
      </c>
      <c r="J59" s="2">
        <v>71.875000000000014</v>
      </c>
      <c r="K59" s="2">
        <v>38804.347826086952</v>
      </c>
    </row>
    <row r="60" spans="1:11" x14ac:dyDescent="0.2">
      <c r="F60" s="2">
        <v>36</v>
      </c>
      <c r="G60" s="2">
        <v>31851.188815103342</v>
      </c>
      <c r="H60" s="2">
        <v>-163.68881510334177</v>
      </c>
      <c r="I60">
        <f t="shared" si="0"/>
        <v>26794.028189936009</v>
      </c>
      <c r="J60" s="2">
        <v>73.958333333333343</v>
      </c>
      <c r="K60" s="2">
        <v>39000</v>
      </c>
    </row>
    <row r="61" spans="1:11" x14ac:dyDescent="0.2">
      <c r="F61" s="2">
        <v>37</v>
      </c>
      <c r="G61" s="2">
        <v>37590.895305245547</v>
      </c>
      <c r="H61" s="2">
        <v>1213.4525208414052</v>
      </c>
      <c r="I61">
        <f t="shared" si="0"/>
        <v>1472467.0203363609</v>
      </c>
      <c r="J61" s="2">
        <v>76.041666666666671</v>
      </c>
      <c r="K61" s="2">
        <v>39300</v>
      </c>
    </row>
    <row r="62" spans="1:11" x14ac:dyDescent="0.2">
      <c r="F62" s="2">
        <v>38</v>
      </c>
      <c r="G62" s="2">
        <v>37590.895305245547</v>
      </c>
      <c r="H62" s="2">
        <v>-1525.6779139412029</v>
      </c>
      <c r="I62">
        <f t="shared" si="0"/>
        <v>2327693.0970879802</v>
      </c>
      <c r="J62" s="2">
        <v>78.125000000000014</v>
      </c>
      <c r="K62" s="2">
        <v>39980.769230769227</v>
      </c>
    </row>
    <row r="63" spans="1:11" x14ac:dyDescent="0.2">
      <c r="F63" s="2">
        <v>39</v>
      </c>
      <c r="G63" s="2">
        <v>32671.14688512366</v>
      </c>
      <c r="H63" s="2">
        <v>-2229.9704145354262</v>
      </c>
      <c r="I63">
        <f t="shared" si="0"/>
        <v>4972768.0497033009</v>
      </c>
      <c r="J63" s="2">
        <v>80.208333333333343</v>
      </c>
      <c r="K63" s="2">
        <v>40000</v>
      </c>
    </row>
    <row r="64" spans="1:11" x14ac:dyDescent="0.2">
      <c r="F64" s="2">
        <v>40</v>
      </c>
      <c r="G64" s="2">
        <v>45790.476005448705</v>
      </c>
      <c r="H64" s="2">
        <v>-2835.9305509032492</v>
      </c>
      <c r="I64">
        <f t="shared" si="0"/>
        <v>8042502.0895464066</v>
      </c>
      <c r="J64" s="2">
        <v>82.291666666666671</v>
      </c>
      <c r="K64" s="2">
        <v>40500</v>
      </c>
    </row>
    <row r="65" spans="6:11" x14ac:dyDescent="0.2">
      <c r="F65" s="2">
        <v>41</v>
      </c>
      <c r="G65" s="2">
        <v>39230.811445286177</v>
      </c>
      <c r="H65" s="2">
        <v>69.188554713822668</v>
      </c>
      <c r="I65">
        <f t="shared" si="0"/>
        <v>4787.0561033876329</v>
      </c>
      <c r="J65" s="2">
        <v>84.375000000000014</v>
      </c>
      <c r="K65" s="2">
        <v>40680</v>
      </c>
    </row>
    <row r="66" spans="6:11" x14ac:dyDescent="0.2">
      <c r="F66" s="2">
        <v>42</v>
      </c>
      <c r="G66" s="2">
        <v>47430.392145489328</v>
      </c>
      <c r="H66" s="2">
        <v>-887.53500263218302</v>
      </c>
      <c r="I66">
        <f t="shared" si="0"/>
        <v>787718.38089730917</v>
      </c>
      <c r="J66" s="2">
        <v>86.458333333333343</v>
      </c>
      <c r="K66" s="2">
        <v>42954.545454545456</v>
      </c>
    </row>
    <row r="67" spans="6:11" x14ac:dyDescent="0.2">
      <c r="F67" s="2">
        <v>43</v>
      </c>
      <c r="G67" s="2">
        <v>33491.104955143972</v>
      </c>
      <c r="H67" s="2">
        <v>3425.5617115226996</v>
      </c>
      <c r="I67">
        <f t="shared" si="0"/>
        <v>11734473.039450327</v>
      </c>
      <c r="J67" s="2">
        <v>88.541666666666671</v>
      </c>
      <c r="K67" s="2">
        <v>43031.25</v>
      </c>
    </row>
    <row r="68" spans="6:11" x14ac:dyDescent="0.2">
      <c r="F68" s="2">
        <v>44</v>
      </c>
      <c r="G68" s="2">
        <v>39230.811445286177</v>
      </c>
      <c r="H68" s="2">
        <v>1449.1885547138227</v>
      </c>
      <c r="I68">
        <f t="shared" si="0"/>
        <v>2100147.4671135382</v>
      </c>
      <c r="J68" s="2">
        <v>90.625000000000014</v>
      </c>
      <c r="K68" s="2">
        <v>43078.125</v>
      </c>
    </row>
    <row r="69" spans="6:11" x14ac:dyDescent="0.2">
      <c r="F69" s="2">
        <v>45</v>
      </c>
      <c r="G69" s="2">
        <v>39230.811445286177</v>
      </c>
      <c r="H69" s="2">
        <v>1269.1885547138227</v>
      </c>
      <c r="I69">
        <f t="shared" si="0"/>
        <v>1610839.587416562</v>
      </c>
      <c r="J69" s="2">
        <v>92.708333333333343</v>
      </c>
      <c r="K69" s="2">
        <v>44089.28571428571</v>
      </c>
    </row>
    <row r="70" spans="6:11" x14ac:dyDescent="0.2">
      <c r="F70" s="2">
        <v>46</v>
      </c>
      <c r="G70" s="2">
        <v>31031.230745083027</v>
      </c>
      <c r="H70" s="2">
        <v>-2331.2307450830267</v>
      </c>
      <c r="I70">
        <f t="shared" si="0"/>
        <v>5434636.7868203642</v>
      </c>
      <c r="J70" s="2">
        <v>94.791666666666671</v>
      </c>
      <c r="K70" s="2">
        <v>44482.758620689659</v>
      </c>
    </row>
    <row r="71" spans="6:11" x14ac:dyDescent="0.2">
      <c r="F71" s="2">
        <v>47</v>
      </c>
      <c r="G71" s="2">
        <v>40050.7695153065</v>
      </c>
      <c r="H71" s="2">
        <v>-70.000284537272819</v>
      </c>
      <c r="I71">
        <f t="shared" si="0"/>
        <v>4900.039835299156</v>
      </c>
      <c r="J71" s="2">
        <v>96.875000000000014</v>
      </c>
      <c r="K71" s="2">
        <v>45000</v>
      </c>
    </row>
    <row r="72" spans="6:11" ht="16" thickBot="1" x14ac:dyDescent="0.25">
      <c r="F72" s="3">
        <v>48</v>
      </c>
      <c r="G72" s="3">
        <v>31031.230745083027</v>
      </c>
      <c r="H72" s="3">
        <v>568.7692549169733</v>
      </c>
      <c r="I72">
        <f t="shared" si="0"/>
        <v>323498.46533880895</v>
      </c>
      <c r="J72" s="3">
        <v>98.958333333333343</v>
      </c>
      <c r="K72" s="3">
        <v>46542.857142857145</v>
      </c>
    </row>
    <row r="73" spans="6:11" x14ac:dyDescent="0.2">
      <c r="I73">
        <f>SUM(I25:I72)</f>
        <v>271879447.39082003</v>
      </c>
    </row>
  </sheetData>
  <sortState xmlns:xlrd2="http://schemas.microsoft.com/office/spreadsheetml/2017/richdata2" ref="K25:K72">
    <sortCondition ref="K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3D40-4C1D-D840-8A0D-F9CF7F397C0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Diamonds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2021-05-15T16:02:24Z</dcterms:modified>
</cp:coreProperties>
</file>